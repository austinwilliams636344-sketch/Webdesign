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w to Use" sheetId="1" state="visible" r:id="rId3"/>
    <sheet name="Overview" sheetId="2" state="visible" r:id="rId4"/>
    <sheet name="Niches" sheetId="3" state="visible" r:id="rId5"/>
    <sheet name="Towns" sheetId="4" state="visible" r:id="rId6"/>
    <sheet name="Search List" sheetId="5" state="visible" r:id="rId7"/>
    <sheet name="Lead Tracker" sheetId="6" state="visible" r:id="rId8"/>
  </sheets>
  <definedNames>
    <definedName function="false" hidden="true" localSheetId="5" name="_xlnm._FilterDatabase" vbProcedure="false">'Lead Tracker'!$A$1:$K$500</definedName>
    <definedName function="false" hidden="true" localSheetId="2" name="_xlnm._FilterDatabase" vbProcedure="false">Niches!$A$1:$D$170</definedName>
    <definedName function="false" hidden="true" localSheetId="4" name="_xlnm._FilterDatabase" vbProcedure="false">'Search List'!$A$1:$G$648</definedName>
    <definedName function="false" hidden="true" localSheetId="3" name="_xlnm._FilterDatabase" vbProcedure="false">Towns!$A$1:$D$64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<sst xmlns="http://schemas.openxmlformats.org/spreadsheetml/2006/main" count="4055" uniqueCount="196">
  <si>
    <t xml:space="preserve">Rural Niche Prospecting</t>
  </si>
  <si>
    <t xml:space="preserve">The edge: jobs are expensive, owners are busy working with their hands instead of marketing, and almost nobody from an agency is calling them.</t>
  </si>
  <si>
    <t xml:space="preserve">Tabs</t>
  </si>
  <si>
    <t xml:space="preserve">Overview: progress per state. All formulas; nothing to type here.</t>
  </si>
  <si>
    <t xml:space="preserve">Niches: target niches per state. Tier 'Lead' (shaded red) is the niche to work first. Coffee shops added to every state.</t>
  </si>
  <si>
    <t xml:space="preserve">Towns: starter towns per state. These are suggestions to get you going; add, remove or replace freely.</t>
  </si>
  <si>
    <t xml:space="preserve">Search List: every niche x town pair, with a one-click Google Maps search. Use the State dropdown in the header to show one state.</t>
  </si>
  <si>
    <t xml:space="preserve">Lead Tracker: one row per business. Row 2 is an example; overwrite or delete it.</t>
  </si>
  <si>
    <t xml:space="preserve">Legend</t>
  </si>
  <si>
    <t xml:space="preserve">Yellow cells are for you to fill in. Everything else is reference data or formulas.</t>
  </si>
  <si>
    <t xml:space="preserve">Every State column has a dropdown of the 17 target states. Lead Tracker also has dropdowns for Niche, Website and Status.</t>
  </si>
  <si>
    <t xml:space="preserve">To use in Google Sheets: drive.google.com &gt; New &gt; File upload &gt; open the file &gt; File &gt; Save as Google Sheets.</t>
  </si>
  <si>
    <t xml:space="preserve">State</t>
  </si>
  <si>
    <t xml:space="preserve">State Name</t>
  </si>
  <si>
    <t xml:space="preserve">Lead Niche</t>
  </si>
  <si>
    <t xml:space="preserve">Niches</t>
  </si>
  <si>
    <t xml:space="preserve">Towns</t>
  </si>
  <si>
    <t xml:space="preserve">Searches</t>
  </si>
  <si>
    <t xml:space="preserve">Searched</t>
  </si>
  <si>
    <t xml:space="preserve">% Searched</t>
  </si>
  <si>
    <t xml:space="preserve">Leads Found</t>
  </si>
  <si>
    <t xml:space="preserve">In Tracker</t>
  </si>
  <si>
    <t xml:space="preserve">Pitched+</t>
  </si>
  <si>
    <t xml:space="preserve">Won</t>
  </si>
  <si>
    <t xml:space="preserve">AL</t>
  </si>
  <si>
    <t xml:space="preserve">Alabama</t>
  </si>
  <si>
    <t xml:space="preserve">AR</t>
  </si>
  <si>
    <t xml:space="preserve">Arkansas</t>
  </si>
  <si>
    <t xml:space="preserve">IA</t>
  </si>
  <si>
    <t xml:space="preserve">Iowa</t>
  </si>
  <si>
    <t xml:space="preserve">ID</t>
  </si>
  <si>
    <t xml:space="preserve">Idaho</t>
  </si>
  <si>
    <t xml:space="preserve">KS</t>
  </si>
  <si>
    <t xml:space="preserve">Kansas</t>
  </si>
  <si>
    <t xml:space="preserve">KY</t>
  </si>
  <si>
    <t xml:space="preserve">Kentucky</t>
  </si>
  <si>
    <t xml:space="preserve">LA</t>
  </si>
  <si>
    <t xml:space="preserve">Louisiana</t>
  </si>
  <si>
    <t xml:space="preserve">MS</t>
  </si>
  <si>
    <t xml:space="preserve">Mississippi</t>
  </si>
  <si>
    <t xml:space="preserve">MT</t>
  </si>
  <si>
    <t xml:space="preserve">Montana</t>
  </si>
  <si>
    <t xml:space="preserve">ND</t>
  </si>
  <si>
    <t xml:space="preserve">North Dakota</t>
  </si>
  <si>
    <t xml:space="preserve">NE</t>
  </si>
  <si>
    <t xml:space="preserve">Nebraska</t>
  </si>
  <si>
    <t xml:space="preserve">NM</t>
  </si>
  <si>
    <t xml:space="preserve">New Mexico</t>
  </si>
  <si>
    <t xml:space="preserve">OK</t>
  </si>
  <si>
    <t xml:space="preserve">Oklahoma</t>
  </si>
  <si>
    <t xml:space="preserve">SD</t>
  </si>
  <si>
    <t xml:space="preserve">South Dakota</t>
  </si>
  <si>
    <t xml:space="preserve">TX</t>
  </si>
  <si>
    <t xml:space="preserve">Texas</t>
  </si>
  <si>
    <t xml:space="preserve">WV</t>
  </si>
  <si>
    <t xml:space="preserve">West Virginia</t>
  </si>
  <si>
    <t xml:space="preserve">WY</t>
  </si>
  <si>
    <t xml:space="preserve">Wyoming</t>
  </si>
  <si>
    <t xml:space="preserve">Total</t>
  </si>
  <si>
    <t xml:space="preserve">Lead Tracker counts skip row 2 (the example). Pitched+ = Pitched, Follow up, Demo sent, or Closed. North Dakota and Wyoming carry two lead niches; Lead Niche shows the first.</t>
  </si>
  <si>
    <t xml:space="preserve">Tier</t>
  </si>
  <si>
    <t xml:space="preserve">Niche</t>
  </si>
  <si>
    <t xml:space="preserve">Why it works</t>
  </si>
  <si>
    <t xml:space="preserve">Niche list (dropdown source)</t>
  </si>
  <si>
    <t xml:space="preserve">Lead</t>
  </si>
  <si>
    <t xml:space="preserve">Septic services</t>
  </si>
  <si>
    <t xml:space="preserve">Every rural home needs one; jobs run hundreds to thousands; almost none have real sites.</t>
  </si>
  <si>
    <t xml:space="preserve">Secondary</t>
  </si>
  <si>
    <t xml:space="preserve">Storm shelter installers</t>
  </si>
  <si>
    <t xml:space="preserve">Tree removal</t>
  </si>
  <si>
    <t xml:space="preserve">Big demand after storms.</t>
  </si>
  <si>
    <t xml:space="preserve">Metal roofing &amp; carports</t>
  </si>
  <si>
    <t xml:space="preserve">Land clearing &amp; forestry mulching</t>
  </si>
  <si>
    <t xml:space="preserve">Well drilling</t>
  </si>
  <si>
    <t xml:space="preserve">Pond building</t>
  </si>
  <si>
    <t xml:space="preserve">Mobile home movers &amp; repair</t>
  </si>
  <si>
    <t xml:space="preserve">Added</t>
  </si>
  <si>
    <t xml:space="preserve">Coffee shops</t>
  </si>
  <si>
    <t xml:space="preserve">Added on request. Lower ticket than the trade niches; local, image-driven, often Facebook-only.</t>
  </si>
  <si>
    <t xml:space="preserve">Farm equipment repair</t>
  </si>
  <si>
    <t xml:space="preserve">Center pivot &amp; irrigation repair</t>
  </si>
  <si>
    <t xml:space="preserve">Custom harvesting</t>
  </si>
  <si>
    <t xml:space="preserve">Crop spraying (aerial &amp; ground)</t>
  </si>
  <si>
    <t xml:space="preserve">Grain &amp; livestock hauling</t>
  </si>
  <si>
    <t xml:space="preserve">Fencing contractors</t>
  </si>
  <si>
    <t xml:space="preserve">Metal building &amp; barn builders</t>
  </si>
  <si>
    <t xml:space="preserve">Large-animal vets</t>
  </si>
  <si>
    <t xml:space="preserve">Home builders &amp; remodelers</t>
  </si>
  <si>
    <t xml:space="preserve">Tractors and combines are expensive to fix; harvest downtime is brutal.</t>
  </si>
  <si>
    <t xml:space="preserve">Log home builders</t>
  </si>
  <si>
    <t xml:space="preserve">Snow removal</t>
  </si>
  <si>
    <t xml:space="preserve">Excavation &amp; dirt work</t>
  </si>
  <si>
    <t xml:space="preserve">Propane delivery</t>
  </si>
  <si>
    <t xml:space="preserve">Hunting outfitters &amp; guides</t>
  </si>
  <si>
    <t xml:space="preserve">Firewood suppliers</t>
  </si>
  <si>
    <t xml:space="preserve">Coal &amp; mining equipment repair</t>
  </si>
  <si>
    <t xml:space="preserve">Diesel repair</t>
  </si>
  <si>
    <t xml:space="preserve">Tree service</t>
  </si>
  <si>
    <t xml:space="preserve">Newcomers are building and renovating, and search online because they don't know anyone locally.</t>
  </si>
  <si>
    <t xml:space="preserve">Retaining walls</t>
  </si>
  <si>
    <t xml:space="preserve">Foundation repair</t>
  </si>
  <si>
    <t xml:space="preserve">Mobile home repair</t>
  </si>
  <si>
    <t xml:space="preserve">Gun shops &amp; outfitters</t>
  </si>
  <si>
    <t xml:space="preserve">Mobile diesel repair</t>
  </si>
  <si>
    <t xml:space="preserve">Welding &amp; fabrication</t>
  </si>
  <si>
    <t xml:space="preserve">Truck &amp; trailer repair</t>
  </si>
  <si>
    <t xml:space="preserve">Semi tire service</t>
  </si>
  <si>
    <t xml:space="preserve">Oilfield equipment rental</t>
  </si>
  <si>
    <t xml:space="preserve">Hotshot trucking</t>
  </si>
  <si>
    <t xml:space="preserve">RV parks &amp; man camps</t>
  </si>
  <si>
    <t xml:space="preserve">Rig &amp; fleet pressure washing</t>
  </si>
  <si>
    <t xml:space="preserve">Steep terrain means driveways, site prep and drainage are constant needs.</t>
  </si>
  <si>
    <t xml:space="preserve">High tickets, urgent calls, tons of small operators.</t>
  </si>
  <si>
    <t xml:space="preserve">Housing for oilfield workers.</t>
  </si>
  <si>
    <t xml:space="preserve">Town</t>
  </si>
  <si>
    <t xml:space="preserve">Notes</t>
  </si>
  <si>
    <t xml:space="preserve">Dothan</t>
  </si>
  <si>
    <t xml:space="preserve">Cullman</t>
  </si>
  <si>
    <t xml:space="preserve">Enterprise</t>
  </si>
  <si>
    <t xml:space="preserve">Jonesboro</t>
  </si>
  <si>
    <t xml:space="preserve">Searcy</t>
  </si>
  <si>
    <t xml:space="preserve">Russellville</t>
  </si>
  <si>
    <t xml:space="preserve">Sioux Center</t>
  </si>
  <si>
    <t xml:space="preserve">Spencer</t>
  </si>
  <si>
    <t xml:space="preserve">Mason City</t>
  </si>
  <si>
    <t xml:space="preserve">Coeur d'Alene</t>
  </si>
  <si>
    <t xml:space="preserve">Sandpoint</t>
  </si>
  <si>
    <t xml:space="preserve">Idaho Falls</t>
  </si>
  <si>
    <t xml:space="preserve">Twin Falls</t>
  </si>
  <si>
    <t xml:space="preserve">Garden City</t>
  </si>
  <si>
    <t xml:space="preserve">Dodge City</t>
  </si>
  <si>
    <t xml:space="preserve">Hays</t>
  </si>
  <si>
    <t xml:space="preserve">Salina</t>
  </si>
  <si>
    <t xml:space="preserve">Pikeville</t>
  </si>
  <si>
    <t xml:space="preserve">Eastern Kentucky only</t>
  </si>
  <si>
    <t xml:space="preserve">Hazard</t>
  </si>
  <si>
    <t xml:space="preserve">Prestonsburg</t>
  </si>
  <si>
    <t xml:space="preserve">London</t>
  </si>
  <si>
    <t xml:space="preserve">Ruston</t>
  </si>
  <si>
    <t xml:space="preserve">Alexandria</t>
  </si>
  <si>
    <t xml:space="preserve">Hammond</t>
  </si>
  <si>
    <t xml:space="preserve">Hattiesburg</t>
  </si>
  <si>
    <t xml:space="preserve">Tupelo</t>
  </si>
  <si>
    <t xml:space="preserve">Meridian</t>
  </si>
  <si>
    <t xml:space="preserve">Bozeman</t>
  </si>
  <si>
    <t xml:space="preserve">Kalispell</t>
  </si>
  <si>
    <t xml:space="preserve">Missoula</t>
  </si>
  <si>
    <t xml:space="preserve">Helena</t>
  </si>
  <si>
    <t xml:space="preserve">Williston</t>
  </si>
  <si>
    <t xml:space="preserve">Dickinson</t>
  </si>
  <si>
    <t xml:space="preserve">Watford City</t>
  </si>
  <si>
    <t xml:space="preserve">Jamestown</t>
  </si>
  <si>
    <t xml:space="preserve">Grand Island</t>
  </si>
  <si>
    <t xml:space="preserve">Kearney</t>
  </si>
  <si>
    <t xml:space="preserve">North Platte</t>
  </si>
  <si>
    <t xml:space="preserve">Scottsbluff</t>
  </si>
  <si>
    <t xml:space="preserve">Hobbs</t>
  </si>
  <si>
    <t xml:space="preserve">Carlsbad</t>
  </si>
  <si>
    <t xml:space="preserve">Artesia</t>
  </si>
  <si>
    <t xml:space="preserve">Farmington</t>
  </si>
  <si>
    <t xml:space="preserve">Enid</t>
  </si>
  <si>
    <t xml:space="preserve">Woodward</t>
  </si>
  <si>
    <t xml:space="preserve">Guymon</t>
  </si>
  <si>
    <t xml:space="preserve">Aberdeen</t>
  </si>
  <si>
    <t xml:space="preserve">Mitchell</t>
  </si>
  <si>
    <t xml:space="preserve">Watertown</t>
  </si>
  <si>
    <t xml:space="preserve">Midland</t>
  </si>
  <si>
    <t xml:space="preserve">West Texas only (Permian Basin)</t>
  </si>
  <si>
    <t xml:space="preserve">Odessa</t>
  </si>
  <si>
    <t xml:space="preserve">Pecos</t>
  </si>
  <si>
    <t xml:space="preserve">Big Spring</t>
  </si>
  <si>
    <t xml:space="preserve">Beckley</t>
  </si>
  <si>
    <t xml:space="preserve">Logan</t>
  </si>
  <si>
    <t xml:space="preserve">Bluefield</t>
  </si>
  <si>
    <t xml:space="preserve">Elkins</t>
  </si>
  <si>
    <t xml:space="preserve">Gillette</t>
  </si>
  <si>
    <t xml:space="preserve">Casper</t>
  </si>
  <si>
    <t xml:space="preserve">Rock Springs</t>
  </si>
  <si>
    <t xml:space="preserve">Sheridan</t>
  </si>
  <si>
    <t xml:space="preserve">Cody</t>
  </si>
  <si>
    <t xml:space="preserve">Jackson</t>
  </si>
  <si>
    <t xml:space="preserve">Towns are suggested starters based on each state's industry, not a researched list. Edit freely.</t>
  </si>
  <si>
    <t xml:space="preserve">Google Maps</t>
  </si>
  <si>
    <t xml:space="preserve">Searched?</t>
  </si>
  <si>
    <t xml:space="preserve">No</t>
  </si>
  <si>
    <t xml:space="preserve">Business Name</t>
  </si>
  <si>
    <t xml:space="preserve">Phone</t>
  </si>
  <si>
    <t xml:space="preserve">Has Website?</t>
  </si>
  <si>
    <t xml:space="preserve">Google Rating</t>
  </si>
  <si>
    <t xml:space="preserve"># Reviews</t>
  </si>
  <si>
    <t xml:space="preserve">Status</t>
  </si>
  <si>
    <t xml:space="preserve">Last Contact</t>
  </si>
  <si>
    <t xml:space="preserve">EXAMPLE: Basin Mobile Diesel (fictional)</t>
  </si>
  <si>
    <t xml:space="preserve">(432) 555-0100</t>
  </si>
  <si>
    <t xml:space="preserve">Not contacted</t>
  </si>
  <si>
    <t xml:space="preserve">Facebook page only. Delete this example row.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</si>
</sst>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%"/>
    <numFmt numFmtId="166" formatCode="0.0"/>
    <numFmt numFmtId="167" formatCode="mm/dd/yyyy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i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i val="true"/>
      <sz val="10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DE9E7"/>
      </patternFill>
    </fill>
    <fill>
      <patternFill patternType="solid">
        <fgColor rgb="FF1F1F1F"/>
        <bgColor rgb="FF333300"/>
      </patternFill>
    </fill>
    <fill>
      <patternFill patternType="solid">
        <fgColor rgb="FFFDE9E7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1F1F"/>
          <bgColor rgb="FF000000"/>
        </patternFill>
      </fill>
    </dxf>
    <dxf>
      <fill>
        <patternFill patternType="solid">
          <fgColor rgb="FFFDE9E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>
          <bgColor rgb="FFE2EFDA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80808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DE9E7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1F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9.7" hidden="false" customHeight="false" outlineLevel="0" collapsed="false">
      <c r="A1" s="1" t="s">
        <v>0</v>
      </c>
    </row>
    <row r="2" customFormat="false" ht="23.8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 t="s">
        <v>7</v>
      </c>
    </row>
    <row r="10" customFormat="false" ht="15" hidden="false" customHeight="false" outlineLevel="0" collapsed="false">
      <c r="A10" s="3"/>
    </row>
    <row r="11" customFormat="false" ht="15" hidden="false" customHeight="false" outlineLevel="0" collapsed="false">
      <c r="A11" s="4" t="s">
        <v>8</v>
      </c>
    </row>
    <row r="12" customFormat="false" ht="15" hidden="false" customHeight="false" outlineLevel="0" collapsed="false">
      <c r="A12" s="5" t="s">
        <v>9</v>
      </c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3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3" min="3" style="0" width="30"/>
    <col collapsed="false" customWidth="true" hidden="false" outlineLevel="0" max="5" min="4" style="0" width="8"/>
    <col collapsed="false" customWidth="true" hidden="false" outlineLevel="0" max="7" min="6" style="0" width="10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1" min="11" style="0" width="10"/>
    <col collapsed="false" customWidth="true" hidden="false" outlineLevel="0" max="12" min="12" style="0" width="8"/>
  </cols>
  <sheetData>
    <row r="1" customFormat="false" ht="21.75" hidden="false" customHeight="true" outlineLevel="0" collapsed="false">
      <c r="A1" s="6" t="s">
        <v>12</v>
      </c>
      <c r="B1" s="6" t="s">
        <v>13</v>
      </c>
      <c r="C1" s="6" t="s">
        <v>14</v>
      </c>
      <c r="D1" s="6" t="s">
        <v>15</v>
      </c>
      <c r="E1" s="6" t="s">
        <v>16</v>
      </c>
      <c r="F1" s="6" t="s">
        <v>17</v>
      </c>
      <c r="G1" s="6" t="s">
        <v>18</v>
      </c>
      <c r="H1" s="6" t="s">
        <v>19</v>
      </c>
      <c r="I1" s="6" t="s">
        <v>20</v>
      </c>
      <c r="J1" s="6" t="s">
        <v>21</v>
      </c>
      <c r="K1" s="6" t="s">
        <v>22</v>
      </c>
      <c r="L1" s="6" t="s">
        <v>23</v>
      </c>
    </row>
    <row r="2" customFormat="false" ht="15" hidden="false" customHeight="false" outlineLevel="0" collapsed="false">
      <c r="A2" s="7" t="s">
        <v>24</v>
      </c>
      <c r="B2" s="7" t="s">
        <v>25</v>
      </c>
      <c r="C2" s="8" t="str">
        <f aca="false">INDEX(Niches!$C$2:$C$170,MATCH(A2,Niches!$A$2:$A$170,0))</f>
        <v>Septic services</v>
      </c>
      <c r="D2" s="7" t="n">
        <f aca="false">COUNTIF(Niches!$A$2:$A$170,A2)</f>
        <v>9</v>
      </c>
      <c r="E2" s="7" t="n">
        <f aca="false">COUNTIF(Towns!$A$2:$A$264,A2)</f>
        <v>3</v>
      </c>
      <c r="F2" s="7" t="n">
        <f aca="false">COUNTIF('Search List'!$A$2:$A$648,A2)</f>
        <v>27</v>
      </c>
      <c r="G2" s="7" t="n">
        <f aca="false">COUNTIFS('Search List'!$A$2:$A$648,A2,'Search List'!$F$2:$F$648,"Yes")</f>
        <v>0</v>
      </c>
      <c r="H2" s="9" t="n">
        <f aca="false">IFERROR(G2/F2,0)</f>
        <v>0</v>
      </c>
      <c r="I2" s="7" t="n">
        <f aca="false">SUMIF('Search List'!$A$2:$A$648,A2,'Search List'!$G$2:$G$648)</f>
        <v>0</v>
      </c>
      <c r="J2" s="7" t="n">
        <f aca="false">COUNTIF('Lead Tracker'!$B$3:$B$500,A2)</f>
        <v>0</v>
      </c>
      <c r="K2" s="7" t="n">
        <f aca="false">SUMPRODUCT(('Lead Tracker'!$B$3:$B$500=A2)*(('Lead Tracker'!$I$3:$I$500="Pitched")+('Lead Tracker'!$I$3:$I$500="Follow up")+('Lead Tracker'!$I$3:$I$500="Demo sent")+('Lead Tracker'!$I$3:$I$500="Closed - won")+('Lead Tracker'!$I$3:$I$500="Closed - lost")))</f>
        <v>0</v>
      </c>
      <c r="L2" s="7" t="n">
        <f aca="false">COUNTIFS('Lead Tracker'!$B$3:$B$500,A2,'Lead Tracker'!$I$3:$I$500,"Closed - won")</f>
        <v>0</v>
      </c>
    </row>
    <row r="3" customFormat="false" ht="15" hidden="false" customHeight="false" outlineLevel="0" collapsed="false">
      <c r="A3" s="7" t="s">
        <v>26</v>
      </c>
      <c r="B3" s="7" t="s">
        <v>27</v>
      </c>
      <c r="C3" s="8" t="str">
        <f aca="false">INDEX(Niches!$C$2:$C$170,MATCH(A3,Niches!$A$2:$A$170,0))</f>
        <v>Septic services</v>
      </c>
      <c r="D3" s="7" t="n">
        <f aca="false">COUNTIF(Niches!$A$2:$A$170,A3)</f>
        <v>9</v>
      </c>
      <c r="E3" s="7" t="n">
        <f aca="false">COUNTIF(Towns!$A$2:$A$264,A3)</f>
        <v>3</v>
      </c>
      <c r="F3" s="7" t="n">
        <f aca="false">COUNTIF('Search List'!$A$2:$A$648,A3)</f>
        <v>27</v>
      </c>
      <c r="G3" s="7" t="n">
        <f aca="false">COUNTIFS('Search List'!$A$2:$A$648,A3,'Search List'!$F$2:$F$648,"Yes")</f>
        <v>0</v>
      </c>
      <c r="H3" s="9" t="n">
        <f aca="false">IFERROR(G3/F3,0)</f>
        <v>0</v>
      </c>
      <c r="I3" s="7" t="n">
        <f aca="false">SUMIF('Search List'!$A$2:$A$648,A3,'Search List'!$G$2:$G$648)</f>
        <v>0</v>
      </c>
      <c r="J3" s="7" t="n">
        <f aca="false">COUNTIF('Lead Tracker'!$B$3:$B$500,A3)</f>
        <v>0</v>
      </c>
      <c r="K3" s="7" t="n">
        <f aca="false">SUMPRODUCT(('Lead Tracker'!$B$3:$B$500=A3)*(('Lead Tracker'!$I$3:$I$500="Pitched")+('Lead Tracker'!$I$3:$I$500="Follow up")+('Lead Tracker'!$I$3:$I$500="Demo sent")+('Lead Tracker'!$I$3:$I$500="Closed - won")+('Lead Tracker'!$I$3:$I$500="Closed - lost")))</f>
        <v>0</v>
      </c>
      <c r="L3" s="7" t="n">
        <f aca="false">COUNTIFS('Lead Tracker'!$B$3:$B$500,A3,'Lead Tracker'!$I$3:$I$500,"Closed - won")</f>
        <v>0</v>
      </c>
    </row>
    <row r="4" customFormat="false" ht="15" hidden="false" customHeight="false" outlineLevel="0" collapsed="false">
      <c r="A4" s="7" t="s">
        <v>28</v>
      </c>
      <c r="B4" s="7" t="s">
        <v>29</v>
      </c>
      <c r="C4" s="8" t="str">
        <f aca="false">INDEX(Niches!$C$2:$C$170,MATCH(A4,Niches!$A$2:$A$170,0))</f>
        <v>Farm equipment repair</v>
      </c>
      <c r="D4" s="7" t="n">
        <f aca="false">COUNTIF(Niches!$A$2:$A$170,A4)</f>
        <v>9</v>
      </c>
      <c r="E4" s="7" t="n">
        <f aca="false">COUNTIF(Towns!$A$2:$A$264,A4)</f>
        <v>3</v>
      </c>
      <c r="F4" s="7" t="n">
        <f aca="false">COUNTIF('Search List'!$A$2:$A$648,A4)</f>
        <v>27</v>
      </c>
      <c r="G4" s="7" t="n">
        <f aca="false">COUNTIFS('Search List'!$A$2:$A$648,A4,'Search List'!$F$2:$F$648,"Yes")</f>
        <v>0</v>
      </c>
      <c r="H4" s="9" t="n">
        <f aca="false">IFERROR(G4/F4,0)</f>
        <v>0</v>
      </c>
      <c r="I4" s="7" t="n">
        <f aca="false">SUMIF('Search List'!$A$2:$A$648,A4,'Search List'!$G$2:$G$648)</f>
        <v>0</v>
      </c>
      <c r="J4" s="7" t="n">
        <f aca="false">COUNTIF('Lead Tracker'!$B$3:$B$500,A4)</f>
        <v>0</v>
      </c>
      <c r="K4" s="7" t="n">
        <f aca="false">SUMPRODUCT(('Lead Tracker'!$B$3:$B$500=A4)*(('Lead Tracker'!$I$3:$I$500="Pitched")+('Lead Tracker'!$I$3:$I$500="Follow up")+('Lead Tracker'!$I$3:$I$500="Demo sent")+('Lead Tracker'!$I$3:$I$500="Closed - won")+('Lead Tracker'!$I$3:$I$500="Closed - lost")))</f>
        <v>0</v>
      </c>
      <c r="L4" s="7" t="n">
        <f aca="false">COUNTIFS('Lead Tracker'!$B$3:$B$500,A4,'Lead Tracker'!$I$3:$I$500,"Closed - won")</f>
        <v>0</v>
      </c>
    </row>
    <row r="5" customFormat="false" ht="15" hidden="false" customHeight="false" outlineLevel="0" collapsed="false">
      <c r="A5" s="7" t="s">
        <v>30</v>
      </c>
      <c r="B5" s="7" t="s">
        <v>31</v>
      </c>
      <c r="C5" s="8" t="str">
        <f aca="false">INDEX(Niches!$C$2:$C$170,MATCH(A5,Niches!$A$2:$A$170,0))</f>
        <v>Home builders &amp; remodelers</v>
      </c>
      <c r="D5" s="7" t="n">
        <f aca="false">COUNTIF(Niches!$A$2:$A$170,A5)</f>
        <v>9</v>
      </c>
      <c r="E5" s="7" t="n">
        <f aca="false">COUNTIF(Towns!$A$2:$A$264,A5)</f>
        <v>4</v>
      </c>
      <c r="F5" s="7" t="n">
        <f aca="false">COUNTIF('Search List'!$A$2:$A$648,A5)</f>
        <v>36</v>
      </c>
      <c r="G5" s="7" t="n">
        <f aca="false">COUNTIFS('Search List'!$A$2:$A$648,A5,'Search List'!$F$2:$F$648,"Yes")</f>
        <v>0</v>
      </c>
      <c r="H5" s="9" t="n">
        <f aca="false">IFERROR(G5/F5,0)</f>
        <v>0</v>
      </c>
      <c r="I5" s="7" t="n">
        <f aca="false">SUMIF('Search List'!$A$2:$A$648,A5,'Search List'!$G$2:$G$648)</f>
        <v>0</v>
      </c>
      <c r="J5" s="7" t="n">
        <f aca="false">COUNTIF('Lead Tracker'!$B$3:$B$500,A5)</f>
        <v>0</v>
      </c>
      <c r="K5" s="7" t="n">
        <f aca="false">SUMPRODUCT(('Lead Tracker'!$B$3:$B$500=A5)*(('Lead Tracker'!$I$3:$I$500="Pitched")+('Lead Tracker'!$I$3:$I$500="Follow up")+('Lead Tracker'!$I$3:$I$500="Demo sent")+('Lead Tracker'!$I$3:$I$500="Closed - won")+('Lead Tracker'!$I$3:$I$500="Closed - lost")))</f>
        <v>0</v>
      </c>
      <c r="L5" s="7" t="n">
        <f aca="false">COUNTIFS('Lead Tracker'!$B$3:$B$500,A5,'Lead Tracker'!$I$3:$I$500,"Closed - won")</f>
        <v>0</v>
      </c>
    </row>
    <row r="6" customFormat="false" ht="15" hidden="false" customHeight="false" outlineLevel="0" collapsed="false">
      <c r="A6" s="7" t="s">
        <v>32</v>
      </c>
      <c r="B6" s="7" t="s">
        <v>33</v>
      </c>
      <c r="C6" s="8" t="str">
        <f aca="false">INDEX(Niches!$C$2:$C$170,MATCH(A6,Niches!$A$2:$A$170,0))</f>
        <v>Farm equipment repair</v>
      </c>
      <c r="D6" s="7" t="n">
        <f aca="false">COUNTIF(Niches!$A$2:$A$170,A6)</f>
        <v>9</v>
      </c>
      <c r="E6" s="7" t="n">
        <f aca="false">COUNTIF(Towns!$A$2:$A$264,A6)</f>
        <v>4</v>
      </c>
      <c r="F6" s="7" t="n">
        <f aca="false">COUNTIF('Search List'!$A$2:$A$648,A6)</f>
        <v>36</v>
      </c>
      <c r="G6" s="7" t="n">
        <f aca="false">COUNTIFS('Search List'!$A$2:$A$648,A6,'Search List'!$F$2:$F$648,"Yes")</f>
        <v>0</v>
      </c>
      <c r="H6" s="9" t="n">
        <f aca="false">IFERROR(G6/F6,0)</f>
        <v>0</v>
      </c>
      <c r="I6" s="7" t="n">
        <f aca="false">SUMIF('Search List'!$A$2:$A$648,A6,'Search List'!$G$2:$G$648)</f>
        <v>0</v>
      </c>
      <c r="J6" s="7" t="n">
        <f aca="false">COUNTIF('Lead Tracker'!$B$3:$B$500,A6)</f>
        <v>0</v>
      </c>
      <c r="K6" s="7" t="n">
        <f aca="false">SUMPRODUCT(('Lead Tracker'!$B$3:$B$500=A6)*(('Lead Tracker'!$I$3:$I$500="Pitched")+('Lead Tracker'!$I$3:$I$500="Follow up")+('Lead Tracker'!$I$3:$I$500="Demo sent")+('Lead Tracker'!$I$3:$I$500="Closed - won")+('Lead Tracker'!$I$3:$I$500="Closed - lost")))</f>
        <v>0</v>
      </c>
      <c r="L6" s="7" t="n">
        <f aca="false">COUNTIFS('Lead Tracker'!$B$3:$B$500,A6,'Lead Tracker'!$I$3:$I$500,"Closed - won")</f>
        <v>0</v>
      </c>
    </row>
    <row r="7" customFormat="false" ht="15" hidden="false" customHeight="false" outlineLevel="0" collapsed="false">
      <c r="A7" s="7" t="s">
        <v>34</v>
      </c>
      <c r="B7" s="7" t="s">
        <v>35</v>
      </c>
      <c r="C7" s="8" t="str">
        <f aca="false">INDEX(Niches!$C$2:$C$170,MATCH(A7,Niches!$A$2:$A$170,0))</f>
        <v>Excavation &amp; dirt work</v>
      </c>
      <c r="D7" s="7" t="n">
        <f aca="false">COUNTIF(Niches!$A$2:$A$170,A7)</f>
        <v>9</v>
      </c>
      <c r="E7" s="7" t="n">
        <f aca="false">COUNTIF(Towns!$A$2:$A$264,A7)</f>
        <v>4</v>
      </c>
      <c r="F7" s="7" t="n">
        <f aca="false">COUNTIF('Search List'!$A$2:$A$648,A7)</f>
        <v>36</v>
      </c>
      <c r="G7" s="7" t="n">
        <f aca="false">COUNTIFS('Search List'!$A$2:$A$648,A7,'Search List'!$F$2:$F$648,"Yes")</f>
        <v>0</v>
      </c>
      <c r="H7" s="9" t="n">
        <f aca="false">IFERROR(G7/F7,0)</f>
        <v>0</v>
      </c>
      <c r="I7" s="7" t="n">
        <f aca="false">SUMIF('Search List'!$A$2:$A$648,A7,'Search List'!$G$2:$G$648)</f>
        <v>0</v>
      </c>
      <c r="J7" s="7" t="n">
        <f aca="false">COUNTIF('Lead Tracker'!$B$3:$B$500,A7)</f>
        <v>0</v>
      </c>
      <c r="K7" s="7" t="n">
        <f aca="false">SUMPRODUCT(('Lead Tracker'!$B$3:$B$500=A7)*(('Lead Tracker'!$I$3:$I$500="Pitched")+('Lead Tracker'!$I$3:$I$500="Follow up")+('Lead Tracker'!$I$3:$I$500="Demo sent")+('Lead Tracker'!$I$3:$I$500="Closed - won")+('Lead Tracker'!$I$3:$I$500="Closed - lost")))</f>
        <v>0</v>
      </c>
      <c r="L7" s="7" t="n">
        <f aca="false">COUNTIFS('Lead Tracker'!$B$3:$B$500,A7,'Lead Tracker'!$I$3:$I$500,"Closed - won")</f>
        <v>0</v>
      </c>
    </row>
    <row r="8" customFormat="false" ht="15" hidden="false" customHeight="false" outlineLevel="0" collapsed="false">
      <c r="A8" s="7" t="s">
        <v>36</v>
      </c>
      <c r="B8" s="7" t="s">
        <v>37</v>
      </c>
      <c r="C8" s="8" t="str">
        <f aca="false">INDEX(Niches!$C$2:$C$170,MATCH(A8,Niches!$A$2:$A$170,0))</f>
        <v>Septic services</v>
      </c>
      <c r="D8" s="7" t="n">
        <f aca="false">COUNTIF(Niches!$A$2:$A$170,A8)</f>
        <v>9</v>
      </c>
      <c r="E8" s="7" t="n">
        <f aca="false">COUNTIF(Towns!$A$2:$A$264,A8)</f>
        <v>3</v>
      </c>
      <c r="F8" s="7" t="n">
        <f aca="false">COUNTIF('Search List'!$A$2:$A$648,A8)</f>
        <v>27</v>
      </c>
      <c r="G8" s="7" t="n">
        <f aca="false">COUNTIFS('Search List'!$A$2:$A$648,A8,'Search List'!$F$2:$F$648,"Yes")</f>
        <v>0</v>
      </c>
      <c r="H8" s="9" t="n">
        <f aca="false">IFERROR(G8/F8,0)</f>
        <v>0</v>
      </c>
      <c r="I8" s="7" t="n">
        <f aca="false">SUMIF('Search List'!$A$2:$A$648,A8,'Search List'!$G$2:$G$648)</f>
        <v>0</v>
      </c>
      <c r="J8" s="7" t="n">
        <f aca="false">COUNTIF('Lead Tracker'!$B$3:$B$500,A8)</f>
        <v>0</v>
      </c>
      <c r="K8" s="7" t="n">
        <f aca="false">SUMPRODUCT(('Lead Tracker'!$B$3:$B$500=A8)*(('Lead Tracker'!$I$3:$I$500="Pitched")+('Lead Tracker'!$I$3:$I$500="Follow up")+('Lead Tracker'!$I$3:$I$500="Demo sent")+('Lead Tracker'!$I$3:$I$500="Closed - won")+('Lead Tracker'!$I$3:$I$500="Closed - lost")))</f>
        <v>0</v>
      </c>
      <c r="L8" s="7" t="n">
        <f aca="false">COUNTIFS('Lead Tracker'!$B$3:$B$500,A8,'Lead Tracker'!$I$3:$I$500,"Closed - won")</f>
        <v>0</v>
      </c>
    </row>
    <row r="9" customFormat="false" ht="15" hidden="false" customHeight="false" outlineLevel="0" collapsed="false">
      <c r="A9" s="7" t="s">
        <v>38</v>
      </c>
      <c r="B9" s="7" t="s">
        <v>39</v>
      </c>
      <c r="C9" s="8" t="str">
        <f aca="false">INDEX(Niches!$C$2:$C$170,MATCH(A9,Niches!$A$2:$A$170,0))</f>
        <v>Septic services</v>
      </c>
      <c r="D9" s="7" t="n">
        <f aca="false">COUNTIF(Niches!$A$2:$A$170,A9)</f>
        <v>9</v>
      </c>
      <c r="E9" s="7" t="n">
        <f aca="false">COUNTIF(Towns!$A$2:$A$264,A9)</f>
        <v>3</v>
      </c>
      <c r="F9" s="7" t="n">
        <f aca="false">COUNTIF('Search List'!$A$2:$A$648,A9)</f>
        <v>27</v>
      </c>
      <c r="G9" s="7" t="n">
        <f aca="false">COUNTIFS('Search List'!$A$2:$A$648,A9,'Search List'!$F$2:$F$648,"Yes")</f>
        <v>0</v>
      </c>
      <c r="H9" s="9" t="n">
        <f aca="false">IFERROR(G9/F9,0)</f>
        <v>0</v>
      </c>
      <c r="I9" s="7" t="n">
        <f aca="false">SUMIF('Search List'!$A$2:$A$648,A9,'Search List'!$G$2:$G$648)</f>
        <v>0</v>
      </c>
      <c r="J9" s="7" t="n">
        <f aca="false">COUNTIF('Lead Tracker'!$B$3:$B$500,A9)</f>
        <v>0</v>
      </c>
      <c r="K9" s="7" t="n">
        <f aca="false">SUMPRODUCT(('Lead Tracker'!$B$3:$B$500=A9)*(('Lead Tracker'!$I$3:$I$500="Pitched")+('Lead Tracker'!$I$3:$I$500="Follow up")+('Lead Tracker'!$I$3:$I$500="Demo sent")+('Lead Tracker'!$I$3:$I$500="Closed - won")+('Lead Tracker'!$I$3:$I$500="Closed - lost")))</f>
        <v>0</v>
      </c>
      <c r="L9" s="7" t="n">
        <f aca="false">COUNTIFS('Lead Tracker'!$B$3:$B$500,A9,'Lead Tracker'!$I$3:$I$500,"Closed - won")</f>
        <v>0</v>
      </c>
    </row>
    <row r="10" customFormat="false" ht="15" hidden="false" customHeight="false" outlineLevel="0" collapsed="false">
      <c r="A10" s="7" t="s">
        <v>40</v>
      </c>
      <c r="B10" s="7" t="s">
        <v>41</v>
      </c>
      <c r="C10" s="8" t="str">
        <f aca="false">INDEX(Niches!$C$2:$C$170,MATCH(A10,Niches!$A$2:$A$170,0))</f>
        <v>Home builders &amp; remodelers</v>
      </c>
      <c r="D10" s="7" t="n">
        <f aca="false">COUNTIF(Niches!$A$2:$A$170,A10)</f>
        <v>9</v>
      </c>
      <c r="E10" s="7" t="n">
        <f aca="false">COUNTIF(Towns!$A$2:$A$264,A10)</f>
        <v>4</v>
      </c>
      <c r="F10" s="7" t="n">
        <f aca="false">COUNTIF('Search List'!$A$2:$A$648,A10)</f>
        <v>36</v>
      </c>
      <c r="G10" s="7" t="n">
        <f aca="false">COUNTIFS('Search List'!$A$2:$A$648,A10,'Search List'!$F$2:$F$648,"Yes")</f>
        <v>0</v>
      </c>
      <c r="H10" s="9" t="n">
        <f aca="false">IFERROR(G10/F10,0)</f>
        <v>0</v>
      </c>
      <c r="I10" s="7" t="n">
        <f aca="false">SUMIF('Search List'!$A$2:$A$648,A10,'Search List'!$G$2:$G$648)</f>
        <v>0</v>
      </c>
      <c r="J10" s="7" t="n">
        <f aca="false">COUNTIF('Lead Tracker'!$B$3:$B$500,A10)</f>
        <v>0</v>
      </c>
      <c r="K10" s="7" t="n">
        <f aca="false">SUMPRODUCT(('Lead Tracker'!$B$3:$B$500=A10)*(('Lead Tracker'!$I$3:$I$500="Pitched")+('Lead Tracker'!$I$3:$I$500="Follow up")+('Lead Tracker'!$I$3:$I$500="Demo sent")+('Lead Tracker'!$I$3:$I$500="Closed - won")+('Lead Tracker'!$I$3:$I$500="Closed - lost")))</f>
        <v>0</v>
      </c>
      <c r="L10" s="7" t="n">
        <f aca="false">COUNTIFS('Lead Tracker'!$B$3:$B$500,A10,'Lead Tracker'!$I$3:$I$500,"Closed - won")</f>
        <v>0</v>
      </c>
    </row>
    <row r="11" customFormat="false" ht="15" hidden="false" customHeight="false" outlineLevel="0" collapsed="false">
      <c r="A11" s="7" t="s">
        <v>42</v>
      </c>
      <c r="B11" s="7" t="s">
        <v>43</v>
      </c>
      <c r="C11" s="8" t="str">
        <f aca="false">INDEX(Niches!$C$2:$C$170,MATCH(A11,Niches!$A$2:$A$170,0))</f>
        <v>Mobile diesel repair</v>
      </c>
      <c r="D11" s="7" t="n">
        <f aca="false">COUNTIF(Niches!$A$2:$A$170,A11)</f>
        <v>17</v>
      </c>
      <c r="E11" s="7" t="n">
        <f aca="false">COUNTIF(Towns!$A$2:$A$264,A11)</f>
        <v>4</v>
      </c>
      <c r="F11" s="7" t="n">
        <f aca="false">COUNTIF('Search List'!$A$2:$A$648,A11)</f>
        <v>68</v>
      </c>
      <c r="G11" s="7" t="n">
        <f aca="false">COUNTIFS('Search List'!$A$2:$A$648,A11,'Search List'!$F$2:$F$648,"Yes")</f>
        <v>0</v>
      </c>
      <c r="H11" s="9" t="n">
        <f aca="false">IFERROR(G11/F11,0)</f>
        <v>0</v>
      </c>
      <c r="I11" s="7" t="n">
        <f aca="false">SUMIF('Search List'!$A$2:$A$648,A11,'Search List'!$G$2:$G$648)</f>
        <v>0</v>
      </c>
      <c r="J11" s="7" t="n">
        <f aca="false">COUNTIF('Lead Tracker'!$B$3:$B$500,A11)</f>
        <v>0</v>
      </c>
      <c r="K11" s="7" t="n">
        <f aca="false">SUMPRODUCT(('Lead Tracker'!$B$3:$B$500=A11)*(('Lead Tracker'!$I$3:$I$500="Pitched")+('Lead Tracker'!$I$3:$I$500="Follow up")+('Lead Tracker'!$I$3:$I$500="Demo sent")+('Lead Tracker'!$I$3:$I$500="Closed - won")+('Lead Tracker'!$I$3:$I$500="Closed - lost")))</f>
        <v>0</v>
      </c>
      <c r="L11" s="7" t="n">
        <f aca="false">COUNTIFS('Lead Tracker'!$B$3:$B$500,A11,'Lead Tracker'!$I$3:$I$500,"Closed - won")</f>
        <v>0</v>
      </c>
    </row>
    <row r="12" customFormat="false" ht="15" hidden="false" customHeight="false" outlineLevel="0" collapsed="false">
      <c r="A12" s="7" t="s">
        <v>44</v>
      </c>
      <c r="B12" s="7" t="s">
        <v>45</v>
      </c>
      <c r="C12" s="8" t="str">
        <f aca="false">INDEX(Niches!$C$2:$C$170,MATCH(A12,Niches!$A$2:$A$170,0))</f>
        <v>Farm equipment repair</v>
      </c>
      <c r="D12" s="7" t="n">
        <f aca="false">COUNTIF(Niches!$A$2:$A$170,A12)</f>
        <v>9</v>
      </c>
      <c r="E12" s="7" t="n">
        <f aca="false">COUNTIF(Towns!$A$2:$A$264,A12)</f>
        <v>4</v>
      </c>
      <c r="F12" s="7" t="n">
        <f aca="false">COUNTIF('Search List'!$A$2:$A$648,A12)</f>
        <v>36</v>
      </c>
      <c r="G12" s="7" t="n">
        <f aca="false">COUNTIFS('Search List'!$A$2:$A$648,A12,'Search List'!$F$2:$F$648,"Yes")</f>
        <v>0</v>
      </c>
      <c r="H12" s="9" t="n">
        <f aca="false">IFERROR(G12/F12,0)</f>
        <v>0</v>
      </c>
      <c r="I12" s="7" t="n">
        <f aca="false">SUMIF('Search List'!$A$2:$A$648,A12,'Search List'!$G$2:$G$648)</f>
        <v>0</v>
      </c>
      <c r="J12" s="7" t="n">
        <f aca="false">COUNTIF('Lead Tracker'!$B$3:$B$500,A12)</f>
        <v>0</v>
      </c>
      <c r="K12" s="7" t="n">
        <f aca="false">SUMPRODUCT(('Lead Tracker'!$B$3:$B$500=A12)*(('Lead Tracker'!$I$3:$I$500="Pitched")+('Lead Tracker'!$I$3:$I$500="Follow up")+('Lead Tracker'!$I$3:$I$500="Demo sent")+('Lead Tracker'!$I$3:$I$500="Closed - won")+('Lead Tracker'!$I$3:$I$500="Closed - lost")))</f>
        <v>0</v>
      </c>
      <c r="L12" s="7" t="n">
        <f aca="false">COUNTIFS('Lead Tracker'!$B$3:$B$500,A12,'Lead Tracker'!$I$3:$I$500,"Closed - won")</f>
        <v>0</v>
      </c>
    </row>
    <row r="13" customFormat="false" ht="15" hidden="false" customHeight="false" outlineLevel="0" collapsed="false">
      <c r="A13" s="7" t="s">
        <v>46</v>
      </c>
      <c r="B13" s="7" t="s">
        <v>47</v>
      </c>
      <c r="C13" s="8" t="str">
        <f aca="false">INDEX(Niches!$C$2:$C$170,MATCH(A13,Niches!$A$2:$A$170,0))</f>
        <v>Mobile diesel repair</v>
      </c>
      <c r="D13" s="7" t="n">
        <f aca="false">COUNTIF(Niches!$A$2:$A$170,A13)</f>
        <v>9</v>
      </c>
      <c r="E13" s="7" t="n">
        <f aca="false">COUNTIF(Towns!$A$2:$A$264,A13)</f>
        <v>4</v>
      </c>
      <c r="F13" s="7" t="n">
        <f aca="false">COUNTIF('Search List'!$A$2:$A$648,A13)</f>
        <v>36</v>
      </c>
      <c r="G13" s="7" t="n">
        <f aca="false">COUNTIFS('Search List'!$A$2:$A$648,A13,'Search List'!$F$2:$F$648,"Yes")</f>
        <v>0</v>
      </c>
      <c r="H13" s="9" t="n">
        <f aca="false">IFERROR(G13/F13,0)</f>
        <v>0</v>
      </c>
      <c r="I13" s="7" t="n">
        <f aca="false">SUMIF('Search List'!$A$2:$A$648,A13,'Search List'!$G$2:$G$648)</f>
        <v>0</v>
      </c>
      <c r="J13" s="7" t="n">
        <f aca="false">COUNTIF('Lead Tracker'!$B$3:$B$500,A13)</f>
        <v>0</v>
      </c>
      <c r="K13" s="7" t="n">
        <f aca="false">SUMPRODUCT(('Lead Tracker'!$B$3:$B$500=A13)*(('Lead Tracker'!$I$3:$I$500="Pitched")+('Lead Tracker'!$I$3:$I$500="Follow up")+('Lead Tracker'!$I$3:$I$500="Demo sent")+('Lead Tracker'!$I$3:$I$500="Closed - won")+('Lead Tracker'!$I$3:$I$500="Closed - lost")))</f>
        <v>0</v>
      </c>
      <c r="L13" s="7" t="n">
        <f aca="false">COUNTIFS('Lead Tracker'!$B$3:$B$500,A13,'Lead Tracker'!$I$3:$I$500,"Closed - won")</f>
        <v>0</v>
      </c>
    </row>
    <row r="14" customFormat="false" ht="15" hidden="false" customHeight="false" outlineLevel="0" collapsed="false">
      <c r="A14" s="7" t="s">
        <v>48</v>
      </c>
      <c r="B14" s="7" t="s">
        <v>49</v>
      </c>
      <c r="C14" s="8" t="str">
        <f aca="false">INDEX(Niches!$C$2:$C$170,MATCH(A14,Niches!$A$2:$A$170,0))</f>
        <v>Farm equipment repair</v>
      </c>
      <c r="D14" s="7" t="n">
        <f aca="false">COUNTIF(Niches!$A$2:$A$170,A14)</f>
        <v>9</v>
      </c>
      <c r="E14" s="7" t="n">
        <f aca="false">COUNTIF(Towns!$A$2:$A$264,A14)</f>
        <v>3</v>
      </c>
      <c r="F14" s="7" t="n">
        <f aca="false">COUNTIF('Search List'!$A$2:$A$648,A14)</f>
        <v>27</v>
      </c>
      <c r="G14" s="7" t="n">
        <f aca="false">COUNTIFS('Search List'!$A$2:$A$648,A14,'Search List'!$F$2:$F$648,"Yes")</f>
        <v>0</v>
      </c>
      <c r="H14" s="9" t="n">
        <f aca="false">IFERROR(G14/F14,0)</f>
        <v>0</v>
      </c>
      <c r="I14" s="7" t="n">
        <f aca="false">SUMIF('Search List'!$A$2:$A$648,A14,'Search List'!$G$2:$G$648)</f>
        <v>0</v>
      </c>
      <c r="J14" s="7" t="n">
        <f aca="false">COUNTIF('Lead Tracker'!$B$3:$B$500,A14)</f>
        <v>0</v>
      </c>
      <c r="K14" s="7" t="n">
        <f aca="false">SUMPRODUCT(('Lead Tracker'!$B$3:$B$500=A14)*(('Lead Tracker'!$I$3:$I$500="Pitched")+('Lead Tracker'!$I$3:$I$500="Follow up")+('Lead Tracker'!$I$3:$I$500="Demo sent")+('Lead Tracker'!$I$3:$I$500="Closed - won")+('Lead Tracker'!$I$3:$I$500="Closed - lost")))</f>
        <v>0</v>
      </c>
      <c r="L14" s="7" t="n">
        <f aca="false">COUNTIFS('Lead Tracker'!$B$3:$B$500,A14,'Lead Tracker'!$I$3:$I$500,"Closed - won")</f>
        <v>0</v>
      </c>
    </row>
    <row r="15" customFormat="false" ht="15" hidden="false" customHeight="false" outlineLevel="0" collapsed="false">
      <c r="A15" s="7" t="s">
        <v>50</v>
      </c>
      <c r="B15" s="7" t="s">
        <v>51</v>
      </c>
      <c r="C15" s="8" t="str">
        <f aca="false">INDEX(Niches!$C$2:$C$170,MATCH(A15,Niches!$A$2:$A$170,0))</f>
        <v>Farm equipment repair</v>
      </c>
      <c r="D15" s="7" t="n">
        <f aca="false">COUNTIF(Niches!$A$2:$A$170,A15)</f>
        <v>9</v>
      </c>
      <c r="E15" s="7" t="n">
        <f aca="false">COUNTIF(Towns!$A$2:$A$264,A15)</f>
        <v>3</v>
      </c>
      <c r="F15" s="7" t="n">
        <f aca="false">COUNTIF('Search List'!$A$2:$A$648,A15)</f>
        <v>27</v>
      </c>
      <c r="G15" s="7" t="n">
        <f aca="false">COUNTIFS('Search List'!$A$2:$A$648,A15,'Search List'!$F$2:$F$648,"Yes")</f>
        <v>0</v>
      </c>
      <c r="H15" s="9" t="n">
        <f aca="false">IFERROR(G15/F15,0)</f>
        <v>0</v>
      </c>
      <c r="I15" s="7" t="n">
        <f aca="false">SUMIF('Search List'!$A$2:$A$648,A15,'Search List'!$G$2:$G$648)</f>
        <v>0</v>
      </c>
      <c r="J15" s="7" t="n">
        <f aca="false">COUNTIF('Lead Tracker'!$B$3:$B$500,A15)</f>
        <v>0</v>
      </c>
      <c r="K15" s="7" t="n">
        <f aca="false">SUMPRODUCT(('Lead Tracker'!$B$3:$B$500=A15)*(('Lead Tracker'!$I$3:$I$500="Pitched")+('Lead Tracker'!$I$3:$I$500="Follow up")+('Lead Tracker'!$I$3:$I$500="Demo sent")+('Lead Tracker'!$I$3:$I$500="Closed - won")+('Lead Tracker'!$I$3:$I$500="Closed - lost")))</f>
        <v>0</v>
      </c>
      <c r="L15" s="7" t="n">
        <f aca="false">COUNTIFS('Lead Tracker'!$B$3:$B$500,A15,'Lead Tracker'!$I$3:$I$500,"Closed - won")</f>
        <v>0</v>
      </c>
    </row>
    <row r="16" customFormat="false" ht="15" hidden="false" customHeight="false" outlineLevel="0" collapsed="false">
      <c r="A16" s="7" t="s">
        <v>52</v>
      </c>
      <c r="B16" s="7" t="s">
        <v>53</v>
      </c>
      <c r="C16" s="8" t="str">
        <f aca="false">INDEX(Niches!$C$2:$C$170,MATCH(A16,Niches!$A$2:$A$170,0))</f>
        <v>Mobile diesel repair</v>
      </c>
      <c r="D16" s="7" t="n">
        <f aca="false">COUNTIF(Niches!$A$2:$A$170,A16)</f>
        <v>9</v>
      </c>
      <c r="E16" s="7" t="n">
        <f aca="false">COUNTIF(Towns!$A$2:$A$264,A16)</f>
        <v>4</v>
      </c>
      <c r="F16" s="7" t="n">
        <f aca="false">COUNTIF('Search List'!$A$2:$A$648,A16)</f>
        <v>36</v>
      </c>
      <c r="G16" s="7" t="n">
        <f aca="false">COUNTIFS('Search List'!$A$2:$A$648,A16,'Search List'!$F$2:$F$648,"Yes")</f>
        <v>0</v>
      </c>
      <c r="H16" s="9" t="n">
        <f aca="false">IFERROR(G16/F16,0)</f>
        <v>0</v>
      </c>
      <c r="I16" s="7" t="n">
        <f aca="false">SUMIF('Search List'!$A$2:$A$648,A16,'Search List'!$G$2:$G$648)</f>
        <v>0</v>
      </c>
      <c r="J16" s="7" t="n">
        <f aca="false">COUNTIF('Lead Tracker'!$B$3:$B$500,A16)</f>
        <v>0</v>
      </c>
      <c r="K16" s="7" t="n">
        <f aca="false">SUMPRODUCT(('Lead Tracker'!$B$3:$B$500=A16)*(('Lead Tracker'!$I$3:$I$500="Pitched")+('Lead Tracker'!$I$3:$I$500="Follow up")+('Lead Tracker'!$I$3:$I$500="Demo sent")+('Lead Tracker'!$I$3:$I$500="Closed - won")+('Lead Tracker'!$I$3:$I$500="Closed - lost")))</f>
        <v>0</v>
      </c>
      <c r="L16" s="7" t="n">
        <f aca="false">COUNTIFS('Lead Tracker'!$B$3:$B$500,A16,'Lead Tracker'!$I$3:$I$500,"Closed - won")</f>
        <v>0</v>
      </c>
    </row>
    <row r="17" customFormat="false" ht="15" hidden="false" customHeight="false" outlineLevel="0" collapsed="false">
      <c r="A17" s="7" t="s">
        <v>54</v>
      </c>
      <c r="B17" s="7" t="s">
        <v>55</v>
      </c>
      <c r="C17" s="8" t="str">
        <f aca="false">INDEX(Niches!$C$2:$C$170,MATCH(A17,Niches!$A$2:$A$170,0))</f>
        <v>Excavation &amp; dirt work</v>
      </c>
      <c r="D17" s="7" t="n">
        <f aca="false">COUNTIF(Niches!$A$2:$A$170,A17)</f>
        <v>9</v>
      </c>
      <c r="E17" s="7" t="n">
        <f aca="false">COUNTIF(Towns!$A$2:$A$264,A17)</f>
        <v>4</v>
      </c>
      <c r="F17" s="7" t="n">
        <f aca="false">COUNTIF('Search List'!$A$2:$A$648,A17)</f>
        <v>36</v>
      </c>
      <c r="G17" s="7" t="n">
        <f aca="false">COUNTIFS('Search List'!$A$2:$A$648,A17,'Search List'!$F$2:$F$648,"Yes")</f>
        <v>0</v>
      </c>
      <c r="H17" s="9" t="n">
        <f aca="false">IFERROR(G17/F17,0)</f>
        <v>0</v>
      </c>
      <c r="I17" s="7" t="n">
        <f aca="false">SUMIF('Search List'!$A$2:$A$648,A17,'Search List'!$G$2:$G$648)</f>
        <v>0</v>
      </c>
      <c r="J17" s="7" t="n">
        <f aca="false">COUNTIF('Lead Tracker'!$B$3:$B$500,A17)</f>
        <v>0</v>
      </c>
      <c r="K17" s="7" t="n">
        <f aca="false">SUMPRODUCT(('Lead Tracker'!$B$3:$B$500=A17)*(('Lead Tracker'!$I$3:$I$500="Pitched")+('Lead Tracker'!$I$3:$I$500="Follow up")+('Lead Tracker'!$I$3:$I$500="Demo sent")+('Lead Tracker'!$I$3:$I$500="Closed - won")+('Lead Tracker'!$I$3:$I$500="Closed - lost")))</f>
        <v>0</v>
      </c>
      <c r="L17" s="7" t="n">
        <f aca="false">COUNTIFS('Lead Tracker'!$B$3:$B$500,A17,'Lead Tracker'!$I$3:$I$500,"Closed - won")</f>
        <v>0</v>
      </c>
    </row>
    <row r="18" customFormat="false" ht="15" hidden="false" customHeight="false" outlineLevel="0" collapsed="false">
      <c r="A18" s="7" t="s">
        <v>56</v>
      </c>
      <c r="B18" s="7" t="s">
        <v>57</v>
      </c>
      <c r="C18" s="8" t="str">
        <f aca="false">INDEX(Niches!$C$2:$C$170,MATCH(A18,Niches!$A$2:$A$170,0))</f>
        <v>Mobile diesel repair</v>
      </c>
      <c r="D18" s="7" t="n">
        <f aca="false">COUNTIF(Niches!$A$2:$A$170,A18)</f>
        <v>17</v>
      </c>
      <c r="E18" s="7" t="n">
        <f aca="false">COUNTIF(Towns!$A$2:$A$264,A18)</f>
        <v>6</v>
      </c>
      <c r="F18" s="7" t="n">
        <f aca="false">COUNTIF('Search List'!$A$2:$A$648,A18)</f>
        <v>102</v>
      </c>
      <c r="G18" s="7" t="n">
        <f aca="false">COUNTIFS('Search List'!$A$2:$A$648,A18,'Search List'!$F$2:$F$648,"Yes")</f>
        <v>0</v>
      </c>
      <c r="H18" s="9" t="n">
        <f aca="false">IFERROR(G18/F18,0)</f>
        <v>0</v>
      </c>
      <c r="I18" s="7" t="n">
        <f aca="false">SUMIF('Search List'!$A$2:$A$648,A18,'Search List'!$G$2:$G$648)</f>
        <v>0</v>
      </c>
      <c r="J18" s="7" t="n">
        <f aca="false">COUNTIF('Lead Tracker'!$B$3:$B$500,A18)</f>
        <v>0</v>
      </c>
      <c r="K18" s="7" t="n">
        <f aca="false">SUMPRODUCT(('Lead Tracker'!$B$3:$B$500=A18)*(('Lead Tracker'!$I$3:$I$500="Pitched")+('Lead Tracker'!$I$3:$I$500="Follow up")+('Lead Tracker'!$I$3:$I$500="Demo sent")+('Lead Tracker'!$I$3:$I$500="Closed - won")+('Lead Tracker'!$I$3:$I$500="Closed - lost")))</f>
        <v>0</v>
      </c>
      <c r="L18" s="7" t="n">
        <f aca="false">COUNTIFS('Lead Tracker'!$B$3:$B$500,A18,'Lead Tracker'!$I$3:$I$500,"Closed - won")</f>
        <v>0</v>
      </c>
    </row>
    <row r="19" customFormat="false" ht="15" hidden="false" customHeight="false" outlineLevel="0" collapsed="false">
      <c r="A19" s="10" t="s">
        <v>58</v>
      </c>
      <c r="B19" s="7"/>
      <c r="C19" s="7"/>
      <c r="D19" s="7"/>
      <c r="E19" s="10" t="n">
        <f aca="false">SUM(E2:E18)</f>
        <v>63</v>
      </c>
      <c r="F19" s="10" t="n">
        <f aca="false">SUM(F2:F18)</f>
        <v>647</v>
      </c>
      <c r="G19" s="10" t="n">
        <f aca="false">SUM(G2:G18)</f>
        <v>0</v>
      </c>
      <c r="H19" s="9" t="n">
        <f aca="false">IFERROR(G19/F19,0)</f>
        <v>0</v>
      </c>
      <c r="I19" s="10" t="n">
        <f aca="false">SUM(I2:I18)</f>
        <v>0</v>
      </c>
      <c r="J19" s="10" t="n">
        <f aca="false">SUM(J2:J18)</f>
        <v>0</v>
      </c>
      <c r="K19" s="10" t="n">
        <f aca="false">SUM(K2:K18)</f>
        <v>0</v>
      </c>
      <c r="L19" s="10" t="n">
        <f aca="false">SUM(L2:L18)</f>
        <v>0</v>
      </c>
    </row>
    <row r="21" customFormat="false" ht="15" hidden="false" customHeight="false" outlineLevel="0" collapsed="false">
      <c r="A21" s="11" t="s">
        <v>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80"/>
    <col collapsed="false" customWidth="true" hidden="false" outlineLevel="0" max="8" min="8" style="0" width="34"/>
  </cols>
  <sheetData>
    <row r="1" customFormat="false" ht="21.75" hidden="false" customHeight="true" outlineLevel="0" collapsed="false">
      <c r="A1" s="6" t="s">
        <v>12</v>
      </c>
      <c r="B1" s="6" t="s">
        <v>60</v>
      </c>
      <c r="C1" s="6" t="s">
        <v>61</v>
      </c>
      <c r="D1" s="6" t="s">
        <v>62</v>
      </c>
      <c r="H1" s="12" t="s">
        <v>63</v>
      </c>
    </row>
    <row r="2" customFormat="false" ht="15" hidden="false" customHeight="false" outlineLevel="0" collapsed="false">
      <c r="A2" s="8" t="s">
        <v>24</v>
      </c>
      <c r="B2" s="8" t="s">
        <v>64</v>
      </c>
      <c r="C2" s="13" t="s">
        <v>65</v>
      </c>
      <c r="D2" s="8" t="s">
        <v>66</v>
      </c>
      <c r="H2" s="14" t="s">
        <v>65</v>
      </c>
    </row>
    <row r="3" customFormat="false" ht="15" hidden="false" customHeight="false" outlineLevel="0" collapsed="false">
      <c r="A3" s="7" t="s">
        <v>24</v>
      </c>
      <c r="B3" s="7" t="s">
        <v>67</v>
      </c>
      <c r="C3" s="7" t="s">
        <v>68</v>
      </c>
      <c r="D3" s="7"/>
      <c r="H3" s="14" t="s">
        <v>68</v>
      </c>
    </row>
    <row r="4" customFormat="false" ht="15" hidden="false" customHeight="false" outlineLevel="0" collapsed="false">
      <c r="A4" s="7" t="s">
        <v>24</v>
      </c>
      <c r="B4" s="7" t="s">
        <v>67</v>
      </c>
      <c r="C4" s="7" t="s">
        <v>69</v>
      </c>
      <c r="D4" s="7" t="s">
        <v>70</v>
      </c>
      <c r="H4" s="14" t="s">
        <v>69</v>
      </c>
    </row>
    <row r="5" customFormat="false" ht="15" hidden="false" customHeight="false" outlineLevel="0" collapsed="false">
      <c r="A5" s="7" t="s">
        <v>24</v>
      </c>
      <c r="B5" s="7" t="s">
        <v>67</v>
      </c>
      <c r="C5" s="7" t="s">
        <v>71</v>
      </c>
      <c r="D5" s="7"/>
      <c r="H5" s="14" t="s">
        <v>71</v>
      </c>
    </row>
    <row r="6" customFormat="false" ht="15" hidden="false" customHeight="false" outlineLevel="0" collapsed="false">
      <c r="A6" s="7" t="s">
        <v>24</v>
      </c>
      <c r="B6" s="7" t="s">
        <v>67</v>
      </c>
      <c r="C6" s="7" t="s">
        <v>72</v>
      </c>
      <c r="D6" s="7"/>
      <c r="H6" s="14" t="s">
        <v>72</v>
      </c>
    </row>
    <row r="7" customFormat="false" ht="15" hidden="false" customHeight="false" outlineLevel="0" collapsed="false">
      <c r="A7" s="7" t="s">
        <v>24</v>
      </c>
      <c r="B7" s="7" t="s">
        <v>67</v>
      </c>
      <c r="C7" s="7" t="s">
        <v>73</v>
      </c>
      <c r="D7" s="7"/>
      <c r="H7" s="14" t="s">
        <v>73</v>
      </c>
    </row>
    <row r="8" customFormat="false" ht="15" hidden="false" customHeight="false" outlineLevel="0" collapsed="false">
      <c r="A8" s="7" t="s">
        <v>24</v>
      </c>
      <c r="B8" s="7" t="s">
        <v>67</v>
      </c>
      <c r="C8" s="7" t="s">
        <v>74</v>
      </c>
      <c r="D8" s="7"/>
      <c r="H8" s="14" t="s">
        <v>74</v>
      </c>
    </row>
    <row r="9" customFormat="false" ht="15" hidden="false" customHeight="false" outlineLevel="0" collapsed="false">
      <c r="A9" s="7" t="s">
        <v>24</v>
      </c>
      <c r="B9" s="7" t="s">
        <v>67</v>
      </c>
      <c r="C9" s="7" t="s">
        <v>75</v>
      </c>
      <c r="D9" s="7"/>
      <c r="H9" s="14" t="s">
        <v>75</v>
      </c>
    </row>
    <row r="10" customFormat="false" ht="15" hidden="false" customHeight="false" outlineLevel="0" collapsed="false">
      <c r="A10" s="7" t="s">
        <v>24</v>
      </c>
      <c r="B10" s="7" t="s">
        <v>76</v>
      </c>
      <c r="C10" s="7" t="s">
        <v>77</v>
      </c>
      <c r="D10" s="7" t="s">
        <v>78</v>
      </c>
      <c r="H10" s="14" t="s">
        <v>77</v>
      </c>
    </row>
    <row r="11" customFormat="false" ht="15" hidden="false" customHeight="false" outlineLevel="0" collapsed="false">
      <c r="A11" s="8" t="s">
        <v>26</v>
      </c>
      <c r="B11" s="8" t="s">
        <v>64</v>
      </c>
      <c r="C11" s="13" t="s">
        <v>65</v>
      </c>
      <c r="D11" s="8" t="s">
        <v>66</v>
      </c>
      <c r="H11" s="14" t="s">
        <v>79</v>
      </c>
    </row>
    <row r="12" customFormat="false" ht="15" hidden="false" customHeight="false" outlineLevel="0" collapsed="false">
      <c r="A12" s="7" t="s">
        <v>26</v>
      </c>
      <c r="B12" s="7" t="s">
        <v>67</v>
      </c>
      <c r="C12" s="7" t="s">
        <v>68</v>
      </c>
      <c r="D12" s="7"/>
      <c r="H12" s="14" t="s">
        <v>80</v>
      </c>
    </row>
    <row r="13" customFormat="false" ht="15" hidden="false" customHeight="false" outlineLevel="0" collapsed="false">
      <c r="A13" s="7" t="s">
        <v>26</v>
      </c>
      <c r="B13" s="7" t="s">
        <v>67</v>
      </c>
      <c r="C13" s="7" t="s">
        <v>69</v>
      </c>
      <c r="D13" s="7" t="s">
        <v>70</v>
      </c>
      <c r="H13" s="14" t="s">
        <v>81</v>
      </c>
    </row>
    <row r="14" customFormat="false" ht="15" hidden="false" customHeight="false" outlineLevel="0" collapsed="false">
      <c r="A14" s="7" t="s">
        <v>26</v>
      </c>
      <c r="B14" s="7" t="s">
        <v>67</v>
      </c>
      <c r="C14" s="7" t="s">
        <v>71</v>
      </c>
      <c r="D14" s="7"/>
      <c r="H14" s="14" t="s">
        <v>82</v>
      </c>
    </row>
    <row r="15" customFormat="false" ht="15" hidden="false" customHeight="false" outlineLevel="0" collapsed="false">
      <c r="A15" s="7" t="s">
        <v>26</v>
      </c>
      <c r="B15" s="7" t="s">
        <v>67</v>
      </c>
      <c r="C15" s="7" t="s">
        <v>72</v>
      </c>
      <c r="D15" s="7"/>
      <c r="H15" s="14" t="s">
        <v>83</v>
      </c>
    </row>
    <row r="16" customFormat="false" ht="15" hidden="false" customHeight="false" outlineLevel="0" collapsed="false">
      <c r="A16" s="7" t="s">
        <v>26</v>
      </c>
      <c r="B16" s="7" t="s">
        <v>67</v>
      </c>
      <c r="C16" s="7" t="s">
        <v>73</v>
      </c>
      <c r="D16" s="7"/>
      <c r="H16" s="14" t="s">
        <v>84</v>
      </c>
    </row>
    <row r="17" customFormat="false" ht="15" hidden="false" customHeight="false" outlineLevel="0" collapsed="false">
      <c r="A17" s="7" t="s">
        <v>26</v>
      </c>
      <c r="B17" s="7" t="s">
        <v>67</v>
      </c>
      <c r="C17" s="7" t="s">
        <v>74</v>
      </c>
      <c r="D17" s="7"/>
      <c r="H17" s="14" t="s">
        <v>85</v>
      </c>
    </row>
    <row r="18" customFormat="false" ht="15" hidden="false" customHeight="false" outlineLevel="0" collapsed="false">
      <c r="A18" s="7" t="s">
        <v>26</v>
      </c>
      <c r="B18" s="7" t="s">
        <v>67</v>
      </c>
      <c r="C18" s="7" t="s">
        <v>75</v>
      </c>
      <c r="D18" s="7"/>
      <c r="H18" s="14" t="s">
        <v>86</v>
      </c>
    </row>
    <row r="19" customFormat="false" ht="15" hidden="false" customHeight="false" outlineLevel="0" collapsed="false">
      <c r="A19" s="7" t="s">
        <v>26</v>
      </c>
      <c r="B19" s="7" t="s">
        <v>76</v>
      </c>
      <c r="C19" s="7" t="s">
        <v>77</v>
      </c>
      <c r="D19" s="7" t="s">
        <v>78</v>
      </c>
      <c r="H19" s="14" t="s">
        <v>87</v>
      </c>
    </row>
    <row r="20" customFormat="false" ht="15" hidden="false" customHeight="false" outlineLevel="0" collapsed="false">
      <c r="A20" s="8" t="s">
        <v>28</v>
      </c>
      <c r="B20" s="8" t="s">
        <v>64</v>
      </c>
      <c r="C20" s="13" t="s">
        <v>79</v>
      </c>
      <c r="D20" s="8" t="s">
        <v>88</v>
      </c>
      <c r="H20" s="14" t="s">
        <v>89</v>
      </c>
    </row>
    <row r="21" customFormat="false" ht="15" hidden="false" customHeight="false" outlineLevel="0" collapsed="false">
      <c r="A21" s="7" t="s">
        <v>28</v>
      </c>
      <c r="B21" s="7" t="s">
        <v>67</v>
      </c>
      <c r="C21" s="7" t="s">
        <v>80</v>
      </c>
      <c r="D21" s="7"/>
      <c r="H21" s="14" t="s">
        <v>90</v>
      </c>
    </row>
    <row r="22" customFormat="false" ht="15" hidden="false" customHeight="false" outlineLevel="0" collapsed="false">
      <c r="A22" s="7" t="s">
        <v>28</v>
      </c>
      <c r="B22" s="7" t="s">
        <v>67</v>
      </c>
      <c r="C22" s="7" t="s">
        <v>81</v>
      </c>
      <c r="D22" s="7"/>
      <c r="H22" s="14" t="s">
        <v>91</v>
      </c>
    </row>
    <row r="23" customFormat="false" ht="15" hidden="false" customHeight="false" outlineLevel="0" collapsed="false">
      <c r="A23" s="7" t="s">
        <v>28</v>
      </c>
      <c r="B23" s="7" t="s">
        <v>67</v>
      </c>
      <c r="C23" s="7" t="s">
        <v>82</v>
      </c>
      <c r="D23" s="7"/>
      <c r="H23" s="14" t="s">
        <v>92</v>
      </c>
    </row>
    <row r="24" customFormat="false" ht="15" hidden="false" customHeight="false" outlineLevel="0" collapsed="false">
      <c r="A24" s="7" t="s">
        <v>28</v>
      </c>
      <c r="B24" s="7" t="s">
        <v>67</v>
      </c>
      <c r="C24" s="7" t="s">
        <v>83</v>
      </c>
      <c r="D24" s="7"/>
      <c r="H24" s="14" t="s">
        <v>93</v>
      </c>
    </row>
    <row r="25" customFormat="false" ht="15" hidden="false" customHeight="false" outlineLevel="0" collapsed="false">
      <c r="A25" s="7" t="s">
        <v>28</v>
      </c>
      <c r="B25" s="7" t="s">
        <v>67</v>
      </c>
      <c r="C25" s="7" t="s">
        <v>84</v>
      </c>
      <c r="D25" s="7"/>
      <c r="H25" s="14" t="s">
        <v>94</v>
      </c>
    </row>
    <row r="26" customFormat="false" ht="15" hidden="false" customHeight="false" outlineLevel="0" collapsed="false">
      <c r="A26" s="7" t="s">
        <v>28</v>
      </c>
      <c r="B26" s="7" t="s">
        <v>67</v>
      </c>
      <c r="C26" s="7" t="s">
        <v>85</v>
      </c>
      <c r="D26" s="7"/>
      <c r="H26" s="14" t="s">
        <v>95</v>
      </c>
    </row>
    <row r="27" customFormat="false" ht="15" hidden="false" customHeight="false" outlineLevel="0" collapsed="false">
      <c r="A27" s="7" t="s">
        <v>28</v>
      </c>
      <c r="B27" s="7" t="s">
        <v>67</v>
      </c>
      <c r="C27" s="7" t="s">
        <v>86</v>
      </c>
      <c r="D27" s="7"/>
      <c r="H27" s="14" t="s">
        <v>96</v>
      </c>
    </row>
    <row r="28" customFormat="false" ht="15" hidden="false" customHeight="false" outlineLevel="0" collapsed="false">
      <c r="A28" s="7" t="s">
        <v>28</v>
      </c>
      <c r="B28" s="7" t="s">
        <v>76</v>
      </c>
      <c r="C28" s="7" t="s">
        <v>77</v>
      </c>
      <c r="D28" s="7" t="s">
        <v>78</v>
      </c>
      <c r="H28" s="14" t="s">
        <v>97</v>
      </c>
    </row>
    <row r="29" customFormat="false" ht="23.85" hidden="false" customHeight="false" outlineLevel="0" collapsed="false">
      <c r="A29" s="8" t="s">
        <v>30</v>
      </c>
      <c r="B29" s="8" t="s">
        <v>64</v>
      </c>
      <c r="C29" s="13" t="s">
        <v>87</v>
      </c>
      <c r="D29" s="8" t="s">
        <v>98</v>
      </c>
      <c r="H29" s="14" t="s">
        <v>99</v>
      </c>
    </row>
    <row r="30" customFormat="false" ht="15" hidden="false" customHeight="false" outlineLevel="0" collapsed="false">
      <c r="A30" s="7" t="s">
        <v>30</v>
      </c>
      <c r="B30" s="7" t="s">
        <v>67</v>
      </c>
      <c r="C30" s="7" t="s">
        <v>89</v>
      </c>
      <c r="D30" s="7"/>
      <c r="H30" s="14" t="s">
        <v>100</v>
      </c>
    </row>
    <row r="31" customFormat="false" ht="15" hidden="false" customHeight="false" outlineLevel="0" collapsed="false">
      <c r="A31" s="7" t="s">
        <v>30</v>
      </c>
      <c r="B31" s="7" t="s">
        <v>67</v>
      </c>
      <c r="C31" s="7" t="s">
        <v>90</v>
      </c>
      <c r="D31" s="7"/>
      <c r="H31" s="14" t="s">
        <v>101</v>
      </c>
    </row>
    <row r="32" customFormat="false" ht="15" hidden="false" customHeight="false" outlineLevel="0" collapsed="false">
      <c r="A32" s="7" t="s">
        <v>30</v>
      </c>
      <c r="B32" s="7" t="s">
        <v>67</v>
      </c>
      <c r="C32" s="7" t="s">
        <v>91</v>
      </c>
      <c r="D32" s="7"/>
      <c r="H32" s="14" t="s">
        <v>102</v>
      </c>
    </row>
    <row r="33" customFormat="false" ht="15" hidden="false" customHeight="false" outlineLevel="0" collapsed="false">
      <c r="A33" s="7" t="s">
        <v>30</v>
      </c>
      <c r="B33" s="7" t="s">
        <v>67</v>
      </c>
      <c r="C33" s="7" t="s">
        <v>73</v>
      </c>
      <c r="D33" s="7"/>
      <c r="H33" s="14" t="s">
        <v>103</v>
      </c>
    </row>
    <row r="34" customFormat="false" ht="15" hidden="false" customHeight="false" outlineLevel="0" collapsed="false">
      <c r="A34" s="7" t="s">
        <v>30</v>
      </c>
      <c r="B34" s="7" t="s">
        <v>67</v>
      </c>
      <c r="C34" s="7" t="s">
        <v>92</v>
      </c>
      <c r="D34" s="7"/>
      <c r="H34" s="14" t="s">
        <v>104</v>
      </c>
    </row>
    <row r="35" customFormat="false" ht="15" hidden="false" customHeight="false" outlineLevel="0" collapsed="false">
      <c r="A35" s="7" t="s">
        <v>30</v>
      </c>
      <c r="B35" s="7" t="s">
        <v>67</v>
      </c>
      <c r="C35" s="7" t="s">
        <v>93</v>
      </c>
      <c r="D35" s="7"/>
      <c r="H35" s="14" t="s">
        <v>105</v>
      </c>
    </row>
    <row r="36" customFormat="false" ht="15" hidden="false" customHeight="false" outlineLevel="0" collapsed="false">
      <c r="A36" s="7" t="s">
        <v>30</v>
      </c>
      <c r="B36" s="7" t="s">
        <v>67</v>
      </c>
      <c r="C36" s="7" t="s">
        <v>94</v>
      </c>
      <c r="D36" s="7"/>
      <c r="H36" s="14" t="s">
        <v>106</v>
      </c>
    </row>
    <row r="37" customFormat="false" ht="15" hidden="false" customHeight="false" outlineLevel="0" collapsed="false">
      <c r="A37" s="7" t="s">
        <v>30</v>
      </c>
      <c r="B37" s="7" t="s">
        <v>76</v>
      </c>
      <c r="C37" s="7" t="s">
        <v>77</v>
      </c>
      <c r="D37" s="7" t="s">
        <v>78</v>
      </c>
      <c r="H37" s="14" t="s">
        <v>107</v>
      </c>
    </row>
    <row r="38" customFormat="false" ht="15" hidden="false" customHeight="false" outlineLevel="0" collapsed="false">
      <c r="A38" s="8" t="s">
        <v>32</v>
      </c>
      <c r="B38" s="8" t="s">
        <v>64</v>
      </c>
      <c r="C38" s="13" t="s">
        <v>79</v>
      </c>
      <c r="D38" s="8" t="s">
        <v>88</v>
      </c>
      <c r="H38" s="14" t="s">
        <v>108</v>
      </c>
    </row>
    <row r="39" customFormat="false" ht="15" hidden="false" customHeight="false" outlineLevel="0" collapsed="false">
      <c r="A39" s="7" t="s">
        <v>32</v>
      </c>
      <c r="B39" s="7" t="s">
        <v>67</v>
      </c>
      <c r="C39" s="7" t="s">
        <v>80</v>
      </c>
      <c r="D39" s="7"/>
      <c r="H39" s="14" t="s">
        <v>109</v>
      </c>
    </row>
    <row r="40" customFormat="false" ht="15" hidden="false" customHeight="false" outlineLevel="0" collapsed="false">
      <c r="A40" s="7" t="s">
        <v>32</v>
      </c>
      <c r="B40" s="7" t="s">
        <v>67</v>
      </c>
      <c r="C40" s="7" t="s">
        <v>81</v>
      </c>
      <c r="D40" s="7"/>
      <c r="H40" s="14" t="s">
        <v>110</v>
      </c>
    </row>
    <row r="41" customFormat="false" ht="15" hidden="false" customHeight="false" outlineLevel="0" collapsed="false">
      <c r="A41" s="7" t="s">
        <v>32</v>
      </c>
      <c r="B41" s="7" t="s">
        <v>67</v>
      </c>
      <c r="C41" s="7" t="s">
        <v>82</v>
      </c>
      <c r="D41" s="7"/>
    </row>
    <row r="42" customFormat="false" ht="15" hidden="false" customHeight="false" outlineLevel="0" collapsed="false">
      <c r="A42" s="7" t="s">
        <v>32</v>
      </c>
      <c r="B42" s="7" t="s">
        <v>67</v>
      </c>
      <c r="C42" s="7" t="s">
        <v>83</v>
      </c>
      <c r="D42" s="7"/>
    </row>
    <row r="43" customFormat="false" ht="15" hidden="false" customHeight="false" outlineLevel="0" collapsed="false">
      <c r="A43" s="7" t="s">
        <v>32</v>
      </c>
      <c r="B43" s="7" t="s">
        <v>67</v>
      </c>
      <c r="C43" s="7" t="s">
        <v>84</v>
      </c>
      <c r="D43" s="7"/>
    </row>
    <row r="44" customFormat="false" ht="15" hidden="false" customHeight="false" outlineLevel="0" collapsed="false">
      <c r="A44" s="7" t="s">
        <v>32</v>
      </c>
      <c r="B44" s="7" t="s">
        <v>67</v>
      </c>
      <c r="C44" s="7" t="s">
        <v>85</v>
      </c>
      <c r="D44" s="7"/>
    </row>
    <row r="45" customFormat="false" ht="15" hidden="false" customHeight="false" outlineLevel="0" collapsed="false">
      <c r="A45" s="7" t="s">
        <v>32</v>
      </c>
      <c r="B45" s="7" t="s">
        <v>67</v>
      </c>
      <c r="C45" s="7" t="s">
        <v>86</v>
      </c>
      <c r="D45" s="7"/>
    </row>
    <row r="46" customFormat="false" ht="15" hidden="false" customHeight="false" outlineLevel="0" collapsed="false">
      <c r="A46" s="7" t="s">
        <v>32</v>
      </c>
      <c r="B46" s="7" t="s">
        <v>76</v>
      </c>
      <c r="C46" s="7" t="s">
        <v>77</v>
      </c>
      <c r="D46" s="7" t="s">
        <v>78</v>
      </c>
    </row>
    <row r="47" customFormat="false" ht="15" hidden="false" customHeight="false" outlineLevel="0" collapsed="false">
      <c r="A47" s="8" t="s">
        <v>34</v>
      </c>
      <c r="B47" s="8" t="s">
        <v>64</v>
      </c>
      <c r="C47" s="13" t="s">
        <v>91</v>
      </c>
      <c r="D47" s="8" t="s">
        <v>111</v>
      </c>
    </row>
    <row r="48" customFormat="false" ht="15" hidden="false" customHeight="false" outlineLevel="0" collapsed="false">
      <c r="A48" s="7" t="s">
        <v>34</v>
      </c>
      <c r="B48" s="7" t="s">
        <v>67</v>
      </c>
      <c r="C48" s="7" t="s">
        <v>95</v>
      </c>
      <c r="D48" s="7"/>
    </row>
    <row r="49" customFormat="false" ht="15" hidden="false" customHeight="false" outlineLevel="0" collapsed="false">
      <c r="A49" s="7" t="s">
        <v>34</v>
      </c>
      <c r="B49" s="7" t="s">
        <v>67</v>
      </c>
      <c r="C49" s="7" t="s">
        <v>96</v>
      </c>
      <c r="D49" s="7"/>
    </row>
    <row r="50" customFormat="false" ht="15" hidden="false" customHeight="false" outlineLevel="0" collapsed="false">
      <c r="A50" s="7" t="s">
        <v>34</v>
      </c>
      <c r="B50" s="7" t="s">
        <v>67</v>
      </c>
      <c r="C50" s="7" t="s">
        <v>97</v>
      </c>
      <c r="D50" s="7"/>
    </row>
    <row r="51" customFormat="false" ht="15" hidden="false" customHeight="false" outlineLevel="0" collapsed="false">
      <c r="A51" s="7" t="s">
        <v>34</v>
      </c>
      <c r="B51" s="7" t="s">
        <v>67</v>
      </c>
      <c r="C51" s="7" t="s">
        <v>99</v>
      </c>
      <c r="D51" s="7"/>
    </row>
    <row r="52" customFormat="false" ht="15" hidden="false" customHeight="false" outlineLevel="0" collapsed="false">
      <c r="A52" s="7" t="s">
        <v>34</v>
      </c>
      <c r="B52" s="7" t="s">
        <v>67</v>
      </c>
      <c r="C52" s="7" t="s">
        <v>100</v>
      </c>
      <c r="D52" s="7"/>
    </row>
    <row r="53" customFormat="false" ht="15" hidden="false" customHeight="false" outlineLevel="0" collapsed="false">
      <c r="A53" s="7" t="s">
        <v>34</v>
      </c>
      <c r="B53" s="7" t="s">
        <v>67</v>
      </c>
      <c r="C53" s="7" t="s">
        <v>101</v>
      </c>
      <c r="D53" s="7"/>
    </row>
    <row r="54" customFormat="false" ht="15" hidden="false" customHeight="false" outlineLevel="0" collapsed="false">
      <c r="A54" s="7" t="s">
        <v>34</v>
      </c>
      <c r="B54" s="7" t="s">
        <v>67</v>
      </c>
      <c r="C54" s="7" t="s">
        <v>102</v>
      </c>
      <c r="D54" s="7"/>
    </row>
    <row r="55" customFormat="false" ht="15" hidden="false" customHeight="false" outlineLevel="0" collapsed="false">
      <c r="A55" s="7" t="s">
        <v>34</v>
      </c>
      <c r="B55" s="7" t="s">
        <v>76</v>
      </c>
      <c r="C55" s="7" t="s">
        <v>77</v>
      </c>
      <c r="D55" s="7" t="s">
        <v>78</v>
      </c>
    </row>
    <row r="56" customFormat="false" ht="15" hidden="false" customHeight="false" outlineLevel="0" collapsed="false">
      <c r="A56" s="8" t="s">
        <v>36</v>
      </c>
      <c r="B56" s="8" t="s">
        <v>64</v>
      </c>
      <c r="C56" s="13" t="s">
        <v>65</v>
      </c>
      <c r="D56" s="8" t="s">
        <v>66</v>
      </c>
    </row>
    <row r="57" customFormat="false" ht="15" hidden="false" customHeight="false" outlineLevel="0" collapsed="false">
      <c r="A57" s="7" t="s">
        <v>36</v>
      </c>
      <c r="B57" s="7" t="s">
        <v>67</v>
      </c>
      <c r="C57" s="7" t="s">
        <v>68</v>
      </c>
      <c r="D57" s="7"/>
    </row>
    <row r="58" customFormat="false" ht="15" hidden="false" customHeight="false" outlineLevel="0" collapsed="false">
      <c r="A58" s="7" t="s">
        <v>36</v>
      </c>
      <c r="B58" s="7" t="s">
        <v>67</v>
      </c>
      <c r="C58" s="7" t="s">
        <v>69</v>
      </c>
      <c r="D58" s="7" t="s">
        <v>70</v>
      </c>
    </row>
    <row r="59" customFormat="false" ht="15" hidden="false" customHeight="false" outlineLevel="0" collapsed="false">
      <c r="A59" s="7" t="s">
        <v>36</v>
      </c>
      <c r="B59" s="7" t="s">
        <v>67</v>
      </c>
      <c r="C59" s="7" t="s">
        <v>71</v>
      </c>
      <c r="D59" s="7"/>
    </row>
    <row r="60" customFormat="false" ht="15" hidden="false" customHeight="false" outlineLevel="0" collapsed="false">
      <c r="A60" s="7" t="s">
        <v>36</v>
      </c>
      <c r="B60" s="7" t="s">
        <v>67</v>
      </c>
      <c r="C60" s="7" t="s">
        <v>72</v>
      </c>
      <c r="D60" s="7"/>
    </row>
    <row r="61" customFormat="false" ht="15" hidden="false" customHeight="false" outlineLevel="0" collapsed="false">
      <c r="A61" s="7" t="s">
        <v>36</v>
      </c>
      <c r="B61" s="7" t="s">
        <v>67</v>
      </c>
      <c r="C61" s="7" t="s">
        <v>73</v>
      </c>
      <c r="D61" s="7"/>
    </row>
    <row r="62" customFormat="false" ht="15" hidden="false" customHeight="false" outlineLevel="0" collapsed="false">
      <c r="A62" s="7" t="s">
        <v>36</v>
      </c>
      <c r="B62" s="7" t="s">
        <v>67</v>
      </c>
      <c r="C62" s="7" t="s">
        <v>74</v>
      </c>
      <c r="D62" s="7"/>
    </row>
    <row r="63" customFormat="false" ht="15" hidden="false" customHeight="false" outlineLevel="0" collapsed="false">
      <c r="A63" s="7" t="s">
        <v>36</v>
      </c>
      <c r="B63" s="7" t="s">
        <v>67</v>
      </c>
      <c r="C63" s="7" t="s">
        <v>75</v>
      </c>
      <c r="D63" s="7"/>
    </row>
    <row r="64" customFormat="false" ht="15" hidden="false" customHeight="false" outlineLevel="0" collapsed="false">
      <c r="A64" s="7" t="s">
        <v>36</v>
      </c>
      <c r="B64" s="7" t="s">
        <v>76</v>
      </c>
      <c r="C64" s="7" t="s">
        <v>77</v>
      </c>
      <c r="D64" s="7" t="s">
        <v>78</v>
      </c>
    </row>
    <row r="65" customFormat="false" ht="15" hidden="false" customHeight="false" outlineLevel="0" collapsed="false">
      <c r="A65" s="8" t="s">
        <v>38</v>
      </c>
      <c r="B65" s="8" t="s">
        <v>64</v>
      </c>
      <c r="C65" s="13" t="s">
        <v>65</v>
      </c>
      <c r="D65" s="8" t="s">
        <v>66</v>
      </c>
    </row>
    <row r="66" customFormat="false" ht="15" hidden="false" customHeight="false" outlineLevel="0" collapsed="false">
      <c r="A66" s="7" t="s">
        <v>38</v>
      </c>
      <c r="B66" s="7" t="s">
        <v>67</v>
      </c>
      <c r="C66" s="7" t="s">
        <v>68</v>
      </c>
      <c r="D66" s="7"/>
    </row>
    <row r="67" customFormat="false" ht="15" hidden="false" customHeight="false" outlineLevel="0" collapsed="false">
      <c r="A67" s="7" t="s">
        <v>38</v>
      </c>
      <c r="B67" s="7" t="s">
        <v>67</v>
      </c>
      <c r="C67" s="7" t="s">
        <v>69</v>
      </c>
      <c r="D67" s="7" t="s">
        <v>70</v>
      </c>
    </row>
    <row r="68" customFormat="false" ht="15" hidden="false" customHeight="false" outlineLevel="0" collapsed="false">
      <c r="A68" s="7" t="s">
        <v>38</v>
      </c>
      <c r="B68" s="7" t="s">
        <v>67</v>
      </c>
      <c r="C68" s="7" t="s">
        <v>71</v>
      </c>
      <c r="D68" s="7"/>
    </row>
    <row r="69" customFormat="false" ht="15" hidden="false" customHeight="false" outlineLevel="0" collapsed="false">
      <c r="A69" s="7" t="s">
        <v>38</v>
      </c>
      <c r="B69" s="7" t="s">
        <v>67</v>
      </c>
      <c r="C69" s="7" t="s">
        <v>72</v>
      </c>
      <c r="D69" s="7"/>
    </row>
    <row r="70" customFormat="false" ht="15" hidden="false" customHeight="false" outlineLevel="0" collapsed="false">
      <c r="A70" s="7" t="s">
        <v>38</v>
      </c>
      <c r="B70" s="7" t="s">
        <v>67</v>
      </c>
      <c r="C70" s="7" t="s">
        <v>73</v>
      </c>
      <c r="D70" s="7"/>
    </row>
    <row r="71" customFormat="false" ht="15" hidden="false" customHeight="false" outlineLevel="0" collapsed="false">
      <c r="A71" s="7" t="s">
        <v>38</v>
      </c>
      <c r="B71" s="7" t="s">
        <v>67</v>
      </c>
      <c r="C71" s="7" t="s">
        <v>74</v>
      </c>
      <c r="D71" s="7"/>
    </row>
    <row r="72" customFormat="false" ht="15" hidden="false" customHeight="false" outlineLevel="0" collapsed="false">
      <c r="A72" s="7" t="s">
        <v>38</v>
      </c>
      <c r="B72" s="7" t="s">
        <v>67</v>
      </c>
      <c r="C72" s="7" t="s">
        <v>75</v>
      </c>
      <c r="D72" s="7"/>
    </row>
    <row r="73" customFormat="false" ht="15" hidden="false" customHeight="false" outlineLevel="0" collapsed="false">
      <c r="A73" s="7" t="s">
        <v>38</v>
      </c>
      <c r="B73" s="7" t="s">
        <v>76</v>
      </c>
      <c r="C73" s="7" t="s">
        <v>77</v>
      </c>
      <c r="D73" s="7" t="s">
        <v>78</v>
      </c>
    </row>
    <row r="74" customFormat="false" ht="23.85" hidden="false" customHeight="false" outlineLevel="0" collapsed="false">
      <c r="A74" s="8" t="s">
        <v>40</v>
      </c>
      <c r="B74" s="8" t="s">
        <v>64</v>
      </c>
      <c r="C74" s="13" t="s">
        <v>87</v>
      </c>
      <c r="D74" s="8" t="s">
        <v>98</v>
      </c>
    </row>
    <row r="75" customFormat="false" ht="15" hidden="false" customHeight="false" outlineLevel="0" collapsed="false">
      <c r="A75" s="7" t="s">
        <v>40</v>
      </c>
      <c r="B75" s="7" t="s">
        <v>67</v>
      </c>
      <c r="C75" s="7" t="s">
        <v>89</v>
      </c>
      <c r="D75" s="7"/>
    </row>
    <row r="76" customFormat="false" ht="15" hidden="false" customHeight="false" outlineLevel="0" collapsed="false">
      <c r="A76" s="7" t="s">
        <v>40</v>
      </c>
      <c r="B76" s="7" t="s">
        <v>67</v>
      </c>
      <c r="C76" s="7" t="s">
        <v>90</v>
      </c>
      <c r="D76" s="7"/>
    </row>
    <row r="77" customFormat="false" ht="15" hidden="false" customHeight="false" outlineLevel="0" collapsed="false">
      <c r="A77" s="7" t="s">
        <v>40</v>
      </c>
      <c r="B77" s="7" t="s">
        <v>67</v>
      </c>
      <c r="C77" s="7" t="s">
        <v>91</v>
      </c>
      <c r="D77" s="7"/>
    </row>
    <row r="78" customFormat="false" ht="15" hidden="false" customHeight="false" outlineLevel="0" collapsed="false">
      <c r="A78" s="7" t="s">
        <v>40</v>
      </c>
      <c r="B78" s="7" t="s">
        <v>67</v>
      </c>
      <c r="C78" s="7" t="s">
        <v>73</v>
      </c>
      <c r="D78" s="7"/>
    </row>
    <row r="79" customFormat="false" ht="15" hidden="false" customHeight="false" outlineLevel="0" collapsed="false">
      <c r="A79" s="7" t="s">
        <v>40</v>
      </c>
      <c r="B79" s="7" t="s">
        <v>67</v>
      </c>
      <c r="C79" s="7" t="s">
        <v>92</v>
      </c>
      <c r="D79" s="7"/>
    </row>
    <row r="80" customFormat="false" ht="15" hidden="false" customHeight="false" outlineLevel="0" collapsed="false">
      <c r="A80" s="7" t="s">
        <v>40</v>
      </c>
      <c r="B80" s="7" t="s">
        <v>67</v>
      </c>
      <c r="C80" s="7" t="s">
        <v>93</v>
      </c>
      <c r="D80" s="7"/>
    </row>
    <row r="81" customFormat="false" ht="15" hidden="false" customHeight="false" outlineLevel="0" collapsed="false">
      <c r="A81" s="7" t="s">
        <v>40</v>
      </c>
      <c r="B81" s="7" t="s">
        <v>67</v>
      </c>
      <c r="C81" s="7" t="s">
        <v>94</v>
      </c>
      <c r="D81" s="7"/>
    </row>
    <row r="82" customFormat="false" ht="15" hidden="false" customHeight="false" outlineLevel="0" collapsed="false">
      <c r="A82" s="7" t="s">
        <v>40</v>
      </c>
      <c r="B82" s="7" t="s">
        <v>76</v>
      </c>
      <c r="C82" s="7" t="s">
        <v>77</v>
      </c>
      <c r="D82" s="7" t="s">
        <v>78</v>
      </c>
    </row>
    <row r="83" customFormat="false" ht="15" hidden="false" customHeight="false" outlineLevel="0" collapsed="false">
      <c r="A83" s="8" t="s">
        <v>42</v>
      </c>
      <c r="B83" s="8" t="s">
        <v>64</v>
      </c>
      <c r="C83" s="13" t="s">
        <v>103</v>
      </c>
      <c r="D83" s="8" t="s">
        <v>112</v>
      </c>
    </row>
    <row r="84" customFormat="false" ht="15" hidden="false" customHeight="false" outlineLevel="0" collapsed="false">
      <c r="A84" s="8" t="s">
        <v>42</v>
      </c>
      <c r="B84" s="8" t="s">
        <v>64</v>
      </c>
      <c r="C84" s="13" t="s">
        <v>79</v>
      </c>
      <c r="D84" s="8" t="s">
        <v>88</v>
      </c>
    </row>
    <row r="85" customFormat="false" ht="15" hidden="false" customHeight="false" outlineLevel="0" collapsed="false">
      <c r="A85" s="7" t="s">
        <v>42</v>
      </c>
      <c r="B85" s="7" t="s">
        <v>67</v>
      </c>
      <c r="C85" s="7" t="s">
        <v>104</v>
      </c>
      <c r="D85" s="7"/>
    </row>
    <row r="86" customFormat="false" ht="15" hidden="false" customHeight="false" outlineLevel="0" collapsed="false">
      <c r="A86" s="7" t="s">
        <v>42</v>
      </c>
      <c r="B86" s="7" t="s">
        <v>67</v>
      </c>
      <c r="C86" s="7" t="s">
        <v>105</v>
      </c>
      <c r="D86" s="7"/>
    </row>
    <row r="87" customFormat="false" ht="15" hidden="false" customHeight="false" outlineLevel="0" collapsed="false">
      <c r="A87" s="7" t="s">
        <v>42</v>
      </c>
      <c r="B87" s="7" t="s">
        <v>67</v>
      </c>
      <c r="C87" s="7" t="s">
        <v>106</v>
      </c>
      <c r="D87" s="7"/>
    </row>
    <row r="88" customFormat="false" ht="15" hidden="false" customHeight="false" outlineLevel="0" collapsed="false">
      <c r="A88" s="7" t="s">
        <v>42</v>
      </c>
      <c r="B88" s="7" t="s">
        <v>67</v>
      </c>
      <c r="C88" s="7" t="s">
        <v>107</v>
      </c>
      <c r="D88" s="7"/>
    </row>
    <row r="89" customFormat="false" ht="15" hidden="false" customHeight="false" outlineLevel="0" collapsed="false">
      <c r="A89" s="7" t="s">
        <v>42</v>
      </c>
      <c r="B89" s="7" t="s">
        <v>67</v>
      </c>
      <c r="C89" s="7" t="s">
        <v>108</v>
      </c>
      <c r="D89" s="7"/>
    </row>
    <row r="90" customFormat="false" ht="15" hidden="false" customHeight="false" outlineLevel="0" collapsed="false">
      <c r="A90" s="7" t="s">
        <v>42</v>
      </c>
      <c r="B90" s="7" t="s">
        <v>67</v>
      </c>
      <c r="C90" s="7" t="s">
        <v>109</v>
      </c>
      <c r="D90" s="7" t="s">
        <v>113</v>
      </c>
    </row>
    <row r="91" customFormat="false" ht="15" hidden="false" customHeight="false" outlineLevel="0" collapsed="false">
      <c r="A91" s="7" t="s">
        <v>42</v>
      </c>
      <c r="B91" s="7" t="s">
        <v>67</v>
      </c>
      <c r="C91" s="7" t="s">
        <v>110</v>
      </c>
      <c r="D91" s="7"/>
    </row>
    <row r="92" customFormat="false" ht="15" hidden="false" customHeight="false" outlineLevel="0" collapsed="false">
      <c r="A92" s="7" t="s">
        <v>42</v>
      </c>
      <c r="B92" s="7" t="s">
        <v>67</v>
      </c>
      <c r="C92" s="7" t="s">
        <v>80</v>
      </c>
      <c r="D92" s="7"/>
    </row>
    <row r="93" customFormat="false" ht="15" hidden="false" customHeight="false" outlineLevel="0" collapsed="false">
      <c r="A93" s="7" t="s">
        <v>42</v>
      </c>
      <c r="B93" s="7" t="s">
        <v>67</v>
      </c>
      <c r="C93" s="7" t="s">
        <v>81</v>
      </c>
      <c r="D93" s="7"/>
    </row>
    <row r="94" customFormat="false" ht="15" hidden="false" customHeight="false" outlineLevel="0" collapsed="false">
      <c r="A94" s="7" t="s">
        <v>42</v>
      </c>
      <c r="B94" s="7" t="s">
        <v>67</v>
      </c>
      <c r="C94" s="7" t="s">
        <v>82</v>
      </c>
      <c r="D94" s="7"/>
    </row>
    <row r="95" customFormat="false" ht="15" hidden="false" customHeight="false" outlineLevel="0" collapsed="false">
      <c r="A95" s="7" t="s">
        <v>42</v>
      </c>
      <c r="B95" s="7" t="s">
        <v>67</v>
      </c>
      <c r="C95" s="7" t="s">
        <v>83</v>
      </c>
      <c r="D95" s="7"/>
    </row>
    <row r="96" customFormat="false" ht="15" hidden="false" customHeight="false" outlineLevel="0" collapsed="false">
      <c r="A96" s="7" t="s">
        <v>42</v>
      </c>
      <c r="B96" s="7" t="s">
        <v>67</v>
      </c>
      <c r="C96" s="7" t="s">
        <v>84</v>
      </c>
      <c r="D96" s="7"/>
    </row>
    <row r="97" customFormat="false" ht="15" hidden="false" customHeight="false" outlineLevel="0" collapsed="false">
      <c r="A97" s="7" t="s">
        <v>42</v>
      </c>
      <c r="B97" s="7" t="s">
        <v>67</v>
      </c>
      <c r="C97" s="7" t="s">
        <v>85</v>
      </c>
      <c r="D97" s="7"/>
    </row>
    <row r="98" customFormat="false" ht="15" hidden="false" customHeight="false" outlineLevel="0" collapsed="false">
      <c r="A98" s="7" t="s">
        <v>42</v>
      </c>
      <c r="B98" s="7" t="s">
        <v>67</v>
      </c>
      <c r="C98" s="7" t="s">
        <v>86</v>
      </c>
      <c r="D98" s="7"/>
    </row>
    <row r="99" customFormat="false" ht="15" hidden="false" customHeight="false" outlineLevel="0" collapsed="false">
      <c r="A99" s="7" t="s">
        <v>42</v>
      </c>
      <c r="B99" s="7" t="s">
        <v>76</v>
      </c>
      <c r="C99" s="7" t="s">
        <v>77</v>
      </c>
      <c r="D99" s="7" t="s">
        <v>78</v>
      </c>
    </row>
    <row r="100" customFormat="false" ht="15" hidden="false" customHeight="false" outlineLevel="0" collapsed="false">
      <c r="A100" s="8" t="s">
        <v>44</v>
      </c>
      <c r="B100" s="8" t="s">
        <v>64</v>
      </c>
      <c r="C100" s="13" t="s">
        <v>79</v>
      </c>
      <c r="D100" s="8" t="s">
        <v>88</v>
      </c>
    </row>
    <row r="101" customFormat="false" ht="15" hidden="false" customHeight="false" outlineLevel="0" collapsed="false">
      <c r="A101" s="7" t="s">
        <v>44</v>
      </c>
      <c r="B101" s="7" t="s">
        <v>67</v>
      </c>
      <c r="C101" s="7" t="s">
        <v>80</v>
      </c>
      <c r="D101" s="7"/>
    </row>
    <row r="102" customFormat="false" ht="15" hidden="false" customHeight="false" outlineLevel="0" collapsed="false">
      <c r="A102" s="7" t="s">
        <v>44</v>
      </c>
      <c r="B102" s="7" t="s">
        <v>67</v>
      </c>
      <c r="C102" s="7" t="s">
        <v>81</v>
      </c>
      <c r="D102" s="7"/>
    </row>
    <row r="103" customFormat="false" ht="15" hidden="false" customHeight="false" outlineLevel="0" collapsed="false">
      <c r="A103" s="7" t="s">
        <v>44</v>
      </c>
      <c r="B103" s="7" t="s">
        <v>67</v>
      </c>
      <c r="C103" s="7" t="s">
        <v>82</v>
      </c>
      <c r="D103" s="7"/>
    </row>
    <row r="104" customFormat="false" ht="15" hidden="false" customHeight="false" outlineLevel="0" collapsed="false">
      <c r="A104" s="7" t="s">
        <v>44</v>
      </c>
      <c r="B104" s="7" t="s">
        <v>67</v>
      </c>
      <c r="C104" s="7" t="s">
        <v>83</v>
      </c>
      <c r="D104" s="7"/>
    </row>
    <row r="105" customFormat="false" ht="15" hidden="false" customHeight="false" outlineLevel="0" collapsed="false">
      <c r="A105" s="7" t="s">
        <v>44</v>
      </c>
      <c r="B105" s="7" t="s">
        <v>67</v>
      </c>
      <c r="C105" s="7" t="s">
        <v>84</v>
      </c>
      <c r="D105" s="7"/>
    </row>
    <row r="106" customFormat="false" ht="15" hidden="false" customHeight="false" outlineLevel="0" collapsed="false">
      <c r="A106" s="7" t="s">
        <v>44</v>
      </c>
      <c r="B106" s="7" t="s">
        <v>67</v>
      </c>
      <c r="C106" s="7" t="s">
        <v>85</v>
      </c>
      <c r="D106" s="7"/>
    </row>
    <row r="107" customFormat="false" ht="15" hidden="false" customHeight="false" outlineLevel="0" collapsed="false">
      <c r="A107" s="7" t="s">
        <v>44</v>
      </c>
      <c r="B107" s="7" t="s">
        <v>67</v>
      </c>
      <c r="C107" s="7" t="s">
        <v>86</v>
      </c>
      <c r="D107" s="7"/>
    </row>
    <row r="108" customFormat="false" ht="15" hidden="false" customHeight="false" outlineLevel="0" collapsed="false">
      <c r="A108" s="7" t="s">
        <v>44</v>
      </c>
      <c r="B108" s="7" t="s">
        <v>76</v>
      </c>
      <c r="C108" s="7" t="s">
        <v>77</v>
      </c>
      <c r="D108" s="7" t="s">
        <v>78</v>
      </c>
    </row>
    <row r="109" customFormat="false" ht="15" hidden="false" customHeight="false" outlineLevel="0" collapsed="false">
      <c r="A109" s="8" t="s">
        <v>46</v>
      </c>
      <c r="B109" s="8" t="s">
        <v>64</v>
      </c>
      <c r="C109" s="13" t="s">
        <v>103</v>
      </c>
      <c r="D109" s="8" t="s">
        <v>112</v>
      </c>
    </row>
    <row r="110" customFormat="false" ht="15" hidden="false" customHeight="false" outlineLevel="0" collapsed="false">
      <c r="A110" s="7" t="s">
        <v>46</v>
      </c>
      <c r="B110" s="7" t="s">
        <v>67</v>
      </c>
      <c r="C110" s="7" t="s">
        <v>104</v>
      </c>
      <c r="D110" s="7"/>
    </row>
    <row r="111" customFormat="false" ht="15" hidden="false" customHeight="false" outlineLevel="0" collapsed="false">
      <c r="A111" s="7" t="s">
        <v>46</v>
      </c>
      <c r="B111" s="7" t="s">
        <v>67</v>
      </c>
      <c r="C111" s="7" t="s">
        <v>105</v>
      </c>
      <c r="D111" s="7"/>
    </row>
    <row r="112" customFormat="false" ht="15" hidden="false" customHeight="false" outlineLevel="0" collapsed="false">
      <c r="A112" s="7" t="s">
        <v>46</v>
      </c>
      <c r="B112" s="7" t="s">
        <v>67</v>
      </c>
      <c r="C112" s="7" t="s">
        <v>106</v>
      </c>
      <c r="D112" s="7"/>
    </row>
    <row r="113" customFormat="false" ht="15" hidden="false" customHeight="false" outlineLevel="0" collapsed="false">
      <c r="A113" s="7" t="s">
        <v>46</v>
      </c>
      <c r="B113" s="7" t="s">
        <v>67</v>
      </c>
      <c r="C113" s="7" t="s">
        <v>107</v>
      </c>
      <c r="D113" s="7"/>
    </row>
    <row r="114" customFormat="false" ht="15" hidden="false" customHeight="false" outlineLevel="0" collapsed="false">
      <c r="A114" s="7" t="s">
        <v>46</v>
      </c>
      <c r="B114" s="7" t="s">
        <v>67</v>
      </c>
      <c r="C114" s="7" t="s">
        <v>108</v>
      </c>
      <c r="D114" s="7"/>
    </row>
    <row r="115" customFormat="false" ht="15" hidden="false" customHeight="false" outlineLevel="0" collapsed="false">
      <c r="A115" s="7" t="s">
        <v>46</v>
      </c>
      <c r="B115" s="7" t="s">
        <v>67</v>
      </c>
      <c r="C115" s="7" t="s">
        <v>109</v>
      </c>
      <c r="D115" s="7" t="s">
        <v>113</v>
      </c>
    </row>
    <row r="116" customFormat="false" ht="15" hidden="false" customHeight="false" outlineLevel="0" collapsed="false">
      <c r="A116" s="7" t="s">
        <v>46</v>
      </c>
      <c r="B116" s="7" t="s">
        <v>67</v>
      </c>
      <c r="C116" s="7" t="s">
        <v>110</v>
      </c>
      <c r="D116" s="7"/>
    </row>
    <row r="117" customFormat="false" ht="15" hidden="false" customHeight="false" outlineLevel="0" collapsed="false">
      <c r="A117" s="7" t="s">
        <v>46</v>
      </c>
      <c r="B117" s="7" t="s">
        <v>76</v>
      </c>
      <c r="C117" s="7" t="s">
        <v>77</v>
      </c>
      <c r="D117" s="7" t="s">
        <v>78</v>
      </c>
    </row>
    <row r="118" customFormat="false" ht="15" hidden="false" customHeight="false" outlineLevel="0" collapsed="false">
      <c r="A118" s="8" t="s">
        <v>48</v>
      </c>
      <c r="B118" s="8" t="s">
        <v>64</v>
      </c>
      <c r="C118" s="13" t="s">
        <v>79</v>
      </c>
      <c r="D118" s="8" t="s">
        <v>88</v>
      </c>
    </row>
    <row r="119" customFormat="false" ht="15" hidden="false" customHeight="false" outlineLevel="0" collapsed="false">
      <c r="A119" s="7" t="s">
        <v>48</v>
      </c>
      <c r="B119" s="7" t="s">
        <v>67</v>
      </c>
      <c r="C119" s="7" t="s">
        <v>80</v>
      </c>
      <c r="D119" s="7"/>
    </row>
    <row r="120" customFormat="false" ht="15" hidden="false" customHeight="false" outlineLevel="0" collapsed="false">
      <c r="A120" s="7" t="s">
        <v>48</v>
      </c>
      <c r="B120" s="7" t="s">
        <v>67</v>
      </c>
      <c r="C120" s="7" t="s">
        <v>81</v>
      </c>
      <c r="D120" s="7"/>
    </row>
    <row r="121" customFormat="false" ht="15" hidden="false" customHeight="false" outlineLevel="0" collapsed="false">
      <c r="A121" s="7" t="s">
        <v>48</v>
      </c>
      <c r="B121" s="7" t="s">
        <v>67</v>
      </c>
      <c r="C121" s="7" t="s">
        <v>82</v>
      </c>
      <c r="D121" s="7"/>
    </row>
    <row r="122" customFormat="false" ht="15" hidden="false" customHeight="false" outlineLevel="0" collapsed="false">
      <c r="A122" s="7" t="s">
        <v>48</v>
      </c>
      <c r="B122" s="7" t="s">
        <v>67</v>
      </c>
      <c r="C122" s="7" t="s">
        <v>83</v>
      </c>
      <c r="D122" s="7"/>
    </row>
    <row r="123" customFormat="false" ht="15" hidden="false" customHeight="false" outlineLevel="0" collapsed="false">
      <c r="A123" s="7" t="s">
        <v>48</v>
      </c>
      <c r="B123" s="7" t="s">
        <v>67</v>
      </c>
      <c r="C123" s="7" t="s">
        <v>84</v>
      </c>
      <c r="D123" s="7"/>
    </row>
    <row r="124" customFormat="false" ht="15" hidden="false" customHeight="false" outlineLevel="0" collapsed="false">
      <c r="A124" s="7" t="s">
        <v>48</v>
      </c>
      <c r="B124" s="7" t="s">
        <v>67</v>
      </c>
      <c r="C124" s="7" t="s">
        <v>85</v>
      </c>
      <c r="D124" s="7"/>
    </row>
    <row r="125" customFormat="false" ht="15" hidden="false" customHeight="false" outlineLevel="0" collapsed="false">
      <c r="A125" s="7" t="s">
        <v>48</v>
      </c>
      <c r="B125" s="7" t="s">
        <v>67</v>
      </c>
      <c r="C125" s="7" t="s">
        <v>86</v>
      </c>
      <c r="D125" s="7"/>
    </row>
    <row r="126" customFormat="false" ht="15" hidden="false" customHeight="false" outlineLevel="0" collapsed="false">
      <c r="A126" s="7" t="s">
        <v>48</v>
      </c>
      <c r="B126" s="7" t="s">
        <v>76</v>
      </c>
      <c r="C126" s="7" t="s">
        <v>77</v>
      </c>
      <c r="D126" s="7" t="s">
        <v>78</v>
      </c>
    </row>
    <row r="127" customFormat="false" ht="15" hidden="false" customHeight="false" outlineLevel="0" collapsed="false">
      <c r="A127" s="8" t="s">
        <v>50</v>
      </c>
      <c r="B127" s="8" t="s">
        <v>64</v>
      </c>
      <c r="C127" s="13" t="s">
        <v>79</v>
      </c>
      <c r="D127" s="8" t="s">
        <v>88</v>
      </c>
    </row>
    <row r="128" customFormat="false" ht="15" hidden="false" customHeight="false" outlineLevel="0" collapsed="false">
      <c r="A128" s="7" t="s">
        <v>50</v>
      </c>
      <c r="B128" s="7" t="s">
        <v>67</v>
      </c>
      <c r="C128" s="7" t="s">
        <v>80</v>
      </c>
      <c r="D128" s="7"/>
    </row>
    <row r="129" customFormat="false" ht="15" hidden="false" customHeight="false" outlineLevel="0" collapsed="false">
      <c r="A129" s="7" t="s">
        <v>50</v>
      </c>
      <c r="B129" s="7" t="s">
        <v>67</v>
      </c>
      <c r="C129" s="7" t="s">
        <v>81</v>
      </c>
      <c r="D129" s="7"/>
    </row>
    <row r="130" customFormat="false" ht="15" hidden="false" customHeight="false" outlineLevel="0" collapsed="false">
      <c r="A130" s="7" t="s">
        <v>50</v>
      </c>
      <c r="B130" s="7" t="s">
        <v>67</v>
      </c>
      <c r="C130" s="7" t="s">
        <v>82</v>
      </c>
      <c r="D130" s="7"/>
    </row>
    <row r="131" customFormat="false" ht="15" hidden="false" customHeight="false" outlineLevel="0" collapsed="false">
      <c r="A131" s="7" t="s">
        <v>50</v>
      </c>
      <c r="B131" s="7" t="s">
        <v>67</v>
      </c>
      <c r="C131" s="7" t="s">
        <v>83</v>
      </c>
      <c r="D131" s="7"/>
    </row>
    <row r="132" customFormat="false" ht="15" hidden="false" customHeight="false" outlineLevel="0" collapsed="false">
      <c r="A132" s="7" t="s">
        <v>50</v>
      </c>
      <c r="B132" s="7" t="s">
        <v>67</v>
      </c>
      <c r="C132" s="7" t="s">
        <v>84</v>
      </c>
      <c r="D132" s="7"/>
    </row>
    <row r="133" customFormat="false" ht="15" hidden="false" customHeight="false" outlineLevel="0" collapsed="false">
      <c r="A133" s="7" t="s">
        <v>50</v>
      </c>
      <c r="B133" s="7" t="s">
        <v>67</v>
      </c>
      <c r="C133" s="7" t="s">
        <v>85</v>
      </c>
      <c r="D133" s="7"/>
    </row>
    <row r="134" customFormat="false" ht="15" hidden="false" customHeight="false" outlineLevel="0" collapsed="false">
      <c r="A134" s="7" t="s">
        <v>50</v>
      </c>
      <c r="B134" s="7" t="s">
        <v>67</v>
      </c>
      <c r="C134" s="7" t="s">
        <v>86</v>
      </c>
      <c r="D134" s="7"/>
    </row>
    <row r="135" customFormat="false" ht="15" hidden="false" customHeight="false" outlineLevel="0" collapsed="false">
      <c r="A135" s="7" t="s">
        <v>50</v>
      </c>
      <c r="B135" s="7" t="s">
        <v>76</v>
      </c>
      <c r="C135" s="7" t="s">
        <v>77</v>
      </c>
      <c r="D135" s="7" t="s">
        <v>78</v>
      </c>
    </row>
    <row r="136" customFormat="false" ht="15" hidden="false" customHeight="false" outlineLevel="0" collapsed="false">
      <c r="A136" s="8" t="s">
        <v>52</v>
      </c>
      <c r="B136" s="8" t="s">
        <v>64</v>
      </c>
      <c r="C136" s="13" t="s">
        <v>103</v>
      </c>
      <c r="D136" s="8" t="s">
        <v>112</v>
      </c>
    </row>
    <row r="137" customFormat="false" ht="15" hidden="false" customHeight="false" outlineLevel="0" collapsed="false">
      <c r="A137" s="7" t="s">
        <v>52</v>
      </c>
      <c r="B137" s="7" t="s">
        <v>67</v>
      </c>
      <c r="C137" s="7" t="s">
        <v>104</v>
      </c>
      <c r="D137" s="7"/>
    </row>
    <row r="138" customFormat="false" ht="15" hidden="false" customHeight="false" outlineLevel="0" collapsed="false">
      <c r="A138" s="7" t="s">
        <v>52</v>
      </c>
      <c r="B138" s="7" t="s">
        <v>67</v>
      </c>
      <c r="C138" s="7" t="s">
        <v>105</v>
      </c>
      <c r="D138" s="7"/>
    </row>
    <row r="139" customFormat="false" ht="15" hidden="false" customHeight="false" outlineLevel="0" collapsed="false">
      <c r="A139" s="7" t="s">
        <v>52</v>
      </c>
      <c r="B139" s="7" t="s">
        <v>67</v>
      </c>
      <c r="C139" s="7" t="s">
        <v>106</v>
      </c>
      <c r="D139" s="7"/>
    </row>
    <row r="140" customFormat="false" ht="15" hidden="false" customHeight="false" outlineLevel="0" collapsed="false">
      <c r="A140" s="7" t="s">
        <v>52</v>
      </c>
      <c r="B140" s="7" t="s">
        <v>67</v>
      </c>
      <c r="C140" s="7" t="s">
        <v>107</v>
      </c>
      <c r="D140" s="7"/>
    </row>
    <row r="141" customFormat="false" ht="15" hidden="false" customHeight="false" outlineLevel="0" collapsed="false">
      <c r="A141" s="7" t="s">
        <v>52</v>
      </c>
      <c r="B141" s="7" t="s">
        <v>67</v>
      </c>
      <c r="C141" s="7" t="s">
        <v>108</v>
      </c>
      <c r="D141" s="7"/>
    </row>
    <row r="142" customFormat="false" ht="15" hidden="false" customHeight="false" outlineLevel="0" collapsed="false">
      <c r="A142" s="7" t="s">
        <v>52</v>
      </c>
      <c r="B142" s="7" t="s">
        <v>67</v>
      </c>
      <c r="C142" s="7" t="s">
        <v>109</v>
      </c>
      <c r="D142" s="7" t="s">
        <v>113</v>
      </c>
    </row>
    <row r="143" customFormat="false" ht="15" hidden="false" customHeight="false" outlineLevel="0" collapsed="false">
      <c r="A143" s="7" t="s">
        <v>52</v>
      </c>
      <c r="B143" s="7" t="s">
        <v>67</v>
      </c>
      <c r="C143" s="7" t="s">
        <v>110</v>
      </c>
      <c r="D143" s="7"/>
    </row>
    <row r="144" customFormat="false" ht="15" hidden="false" customHeight="false" outlineLevel="0" collapsed="false">
      <c r="A144" s="7" t="s">
        <v>52</v>
      </c>
      <c r="B144" s="7" t="s">
        <v>76</v>
      </c>
      <c r="C144" s="7" t="s">
        <v>77</v>
      </c>
      <c r="D144" s="7" t="s">
        <v>78</v>
      </c>
    </row>
    <row r="145" customFormat="false" ht="15" hidden="false" customHeight="false" outlineLevel="0" collapsed="false">
      <c r="A145" s="8" t="s">
        <v>54</v>
      </c>
      <c r="B145" s="8" t="s">
        <v>64</v>
      </c>
      <c r="C145" s="13" t="s">
        <v>91</v>
      </c>
      <c r="D145" s="8" t="s">
        <v>111</v>
      </c>
    </row>
    <row r="146" customFormat="false" ht="15" hidden="false" customHeight="false" outlineLevel="0" collapsed="false">
      <c r="A146" s="7" t="s">
        <v>54</v>
      </c>
      <c r="B146" s="7" t="s">
        <v>67</v>
      </c>
      <c r="C146" s="7" t="s">
        <v>95</v>
      </c>
      <c r="D146" s="7"/>
    </row>
    <row r="147" customFormat="false" ht="15" hidden="false" customHeight="false" outlineLevel="0" collapsed="false">
      <c r="A147" s="7" t="s">
        <v>54</v>
      </c>
      <c r="B147" s="7" t="s">
        <v>67</v>
      </c>
      <c r="C147" s="7" t="s">
        <v>96</v>
      </c>
      <c r="D147" s="7"/>
    </row>
    <row r="148" customFormat="false" ht="15" hidden="false" customHeight="false" outlineLevel="0" collapsed="false">
      <c r="A148" s="7" t="s">
        <v>54</v>
      </c>
      <c r="B148" s="7" t="s">
        <v>67</v>
      </c>
      <c r="C148" s="7" t="s">
        <v>97</v>
      </c>
      <c r="D148" s="7"/>
    </row>
    <row r="149" customFormat="false" ht="15" hidden="false" customHeight="false" outlineLevel="0" collapsed="false">
      <c r="A149" s="7" t="s">
        <v>54</v>
      </c>
      <c r="B149" s="7" t="s">
        <v>67</v>
      </c>
      <c r="C149" s="7" t="s">
        <v>99</v>
      </c>
      <c r="D149" s="7"/>
    </row>
    <row r="150" customFormat="false" ht="15" hidden="false" customHeight="false" outlineLevel="0" collapsed="false">
      <c r="A150" s="7" t="s">
        <v>54</v>
      </c>
      <c r="B150" s="7" t="s">
        <v>67</v>
      </c>
      <c r="C150" s="7" t="s">
        <v>100</v>
      </c>
      <c r="D150" s="7"/>
    </row>
    <row r="151" customFormat="false" ht="15" hidden="false" customHeight="false" outlineLevel="0" collapsed="false">
      <c r="A151" s="7" t="s">
        <v>54</v>
      </c>
      <c r="B151" s="7" t="s">
        <v>67</v>
      </c>
      <c r="C151" s="7" t="s">
        <v>101</v>
      </c>
      <c r="D151" s="7"/>
    </row>
    <row r="152" customFormat="false" ht="15" hidden="false" customHeight="false" outlineLevel="0" collapsed="false">
      <c r="A152" s="7" t="s">
        <v>54</v>
      </c>
      <c r="B152" s="7" t="s">
        <v>67</v>
      </c>
      <c r="C152" s="7" t="s">
        <v>102</v>
      </c>
      <c r="D152" s="7"/>
    </row>
    <row r="153" customFormat="false" ht="15" hidden="false" customHeight="false" outlineLevel="0" collapsed="false">
      <c r="A153" s="7" t="s">
        <v>54</v>
      </c>
      <c r="B153" s="7" t="s">
        <v>76</v>
      </c>
      <c r="C153" s="7" t="s">
        <v>77</v>
      </c>
      <c r="D153" s="7" t="s">
        <v>78</v>
      </c>
    </row>
    <row r="154" customFormat="false" ht="15" hidden="false" customHeight="false" outlineLevel="0" collapsed="false">
      <c r="A154" s="8" t="s">
        <v>56</v>
      </c>
      <c r="B154" s="8" t="s">
        <v>64</v>
      </c>
      <c r="C154" s="13" t="s">
        <v>103</v>
      </c>
      <c r="D154" s="8" t="s">
        <v>112</v>
      </c>
    </row>
    <row r="155" customFormat="false" ht="23.85" hidden="false" customHeight="false" outlineLevel="0" collapsed="false">
      <c r="A155" s="8" t="s">
        <v>56</v>
      </c>
      <c r="B155" s="8" t="s">
        <v>64</v>
      </c>
      <c r="C155" s="13" t="s">
        <v>87</v>
      </c>
      <c r="D155" s="8" t="s">
        <v>98</v>
      </c>
    </row>
    <row r="156" customFormat="false" ht="15" hidden="false" customHeight="false" outlineLevel="0" collapsed="false">
      <c r="A156" s="7" t="s">
        <v>56</v>
      </c>
      <c r="B156" s="7" t="s">
        <v>67</v>
      </c>
      <c r="C156" s="7" t="s">
        <v>104</v>
      </c>
      <c r="D156" s="7"/>
    </row>
    <row r="157" customFormat="false" ht="15" hidden="false" customHeight="false" outlineLevel="0" collapsed="false">
      <c r="A157" s="7" t="s">
        <v>56</v>
      </c>
      <c r="B157" s="7" t="s">
        <v>67</v>
      </c>
      <c r="C157" s="7" t="s">
        <v>105</v>
      </c>
      <c r="D157" s="7"/>
    </row>
    <row r="158" customFormat="false" ht="15" hidden="false" customHeight="false" outlineLevel="0" collapsed="false">
      <c r="A158" s="7" t="s">
        <v>56</v>
      </c>
      <c r="B158" s="7" t="s">
        <v>67</v>
      </c>
      <c r="C158" s="7" t="s">
        <v>106</v>
      </c>
      <c r="D158" s="7"/>
    </row>
    <row r="159" customFormat="false" ht="15" hidden="false" customHeight="false" outlineLevel="0" collapsed="false">
      <c r="A159" s="7" t="s">
        <v>56</v>
      </c>
      <c r="B159" s="7" t="s">
        <v>67</v>
      </c>
      <c r="C159" s="7" t="s">
        <v>107</v>
      </c>
      <c r="D159" s="7"/>
    </row>
    <row r="160" customFormat="false" ht="15" hidden="false" customHeight="false" outlineLevel="0" collapsed="false">
      <c r="A160" s="7" t="s">
        <v>56</v>
      </c>
      <c r="B160" s="7" t="s">
        <v>67</v>
      </c>
      <c r="C160" s="7" t="s">
        <v>108</v>
      </c>
      <c r="D160" s="7"/>
    </row>
    <row r="161" customFormat="false" ht="15" hidden="false" customHeight="false" outlineLevel="0" collapsed="false">
      <c r="A161" s="7" t="s">
        <v>56</v>
      </c>
      <c r="B161" s="7" t="s">
        <v>67</v>
      </c>
      <c r="C161" s="7" t="s">
        <v>109</v>
      </c>
      <c r="D161" s="7" t="s">
        <v>113</v>
      </c>
    </row>
    <row r="162" customFormat="false" ht="15" hidden="false" customHeight="false" outlineLevel="0" collapsed="false">
      <c r="A162" s="7" t="s">
        <v>56</v>
      </c>
      <c r="B162" s="7" t="s">
        <v>67</v>
      </c>
      <c r="C162" s="7" t="s">
        <v>110</v>
      </c>
      <c r="D162" s="7"/>
    </row>
    <row r="163" customFormat="false" ht="15" hidden="false" customHeight="false" outlineLevel="0" collapsed="false">
      <c r="A163" s="7" t="s">
        <v>56</v>
      </c>
      <c r="B163" s="7" t="s">
        <v>67</v>
      </c>
      <c r="C163" s="7" t="s">
        <v>89</v>
      </c>
      <c r="D163" s="7"/>
    </row>
    <row r="164" customFormat="false" ht="15" hidden="false" customHeight="false" outlineLevel="0" collapsed="false">
      <c r="A164" s="7" t="s">
        <v>56</v>
      </c>
      <c r="B164" s="7" t="s">
        <v>67</v>
      </c>
      <c r="C164" s="7" t="s">
        <v>90</v>
      </c>
      <c r="D164" s="7"/>
    </row>
    <row r="165" customFormat="false" ht="15" hidden="false" customHeight="false" outlineLevel="0" collapsed="false">
      <c r="A165" s="7" t="s">
        <v>56</v>
      </c>
      <c r="B165" s="7" t="s">
        <v>67</v>
      </c>
      <c r="C165" s="7" t="s">
        <v>91</v>
      </c>
      <c r="D165" s="7"/>
    </row>
    <row r="166" customFormat="false" ht="15" hidden="false" customHeight="false" outlineLevel="0" collapsed="false">
      <c r="A166" s="7" t="s">
        <v>56</v>
      </c>
      <c r="B166" s="7" t="s">
        <v>67</v>
      </c>
      <c r="C166" s="7" t="s">
        <v>73</v>
      </c>
      <c r="D166" s="7"/>
    </row>
    <row r="167" customFormat="false" ht="15" hidden="false" customHeight="false" outlineLevel="0" collapsed="false">
      <c r="A167" s="7" t="s">
        <v>56</v>
      </c>
      <c r="B167" s="7" t="s">
        <v>67</v>
      </c>
      <c r="C167" s="7" t="s">
        <v>92</v>
      </c>
      <c r="D167" s="7"/>
    </row>
    <row r="168" customFormat="false" ht="15" hidden="false" customHeight="false" outlineLevel="0" collapsed="false">
      <c r="A168" s="7" t="s">
        <v>56</v>
      </c>
      <c r="B168" s="7" t="s">
        <v>67</v>
      </c>
      <c r="C168" s="7" t="s">
        <v>93</v>
      </c>
      <c r="D168" s="7"/>
    </row>
    <row r="169" customFormat="false" ht="15" hidden="false" customHeight="false" outlineLevel="0" collapsed="false">
      <c r="A169" s="7" t="s">
        <v>56</v>
      </c>
      <c r="B169" s="7" t="s">
        <v>67</v>
      </c>
      <c r="C169" s="7" t="s">
        <v>94</v>
      </c>
      <c r="D169" s="7"/>
    </row>
    <row r="170" customFormat="false" ht="15" hidden="false" customHeight="false" outlineLevel="0" collapsed="false">
      <c r="A170" s="7" t="s">
        <v>56</v>
      </c>
      <c r="B170" s="7" t="s">
        <v>76</v>
      </c>
      <c r="C170" s="7" t="s">
        <v>77</v>
      </c>
      <c r="D170" s="7" t="s">
        <v>78</v>
      </c>
    </row>
  </sheetData>
  <autoFilter ref="A1:D170"/>
  <dataValidations count="1">
    <dataValidation allowBlank="true" errorStyle="stop" operator="between" showDropDown="false" showErrorMessage="false" showInputMessage="false" sqref="A2:A370" type="list">
      <formula1>"AL,AR,IA,ID,KS,KY,LA,MS,MT,ND,NE,NM,OK,SD,TX,WV,WY"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4" min="4" style="0" width="50"/>
  </cols>
  <sheetData>
    <row r="1" customFormat="false" ht="21.75" hidden="false" customHeight="true" outlineLevel="0" collapsed="false">
      <c r="A1" s="6" t="s">
        <v>12</v>
      </c>
      <c r="B1" s="6" t="s">
        <v>13</v>
      </c>
      <c r="C1" s="6" t="s">
        <v>114</v>
      </c>
      <c r="D1" s="6" t="s">
        <v>115</v>
      </c>
    </row>
    <row r="2" customFormat="false" ht="15" hidden="false" customHeight="false" outlineLevel="0" collapsed="false">
      <c r="A2" s="7" t="s">
        <v>24</v>
      </c>
      <c r="B2" s="7" t="str">
        <f aca="false">IFERROR(INDEX(Overview!$B$2:$B$18,MATCH(A2,Overview!$A$2:$A$18,0)),"")</f>
        <v>Alabama</v>
      </c>
      <c r="C2" s="7" t="s">
        <v>116</v>
      </c>
      <c r="D2" s="15"/>
    </row>
    <row r="3" customFormat="false" ht="15" hidden="false" customHeight="false" outlineLevel="0" collapsed="false">
      <c r="A3" s="7" t="s">
        <v>24</v>
      </c>
      <c r="B3" s="7" t="str">
        <f aca="false">IFERROR(INDEX(Overview!$B$2:$B$18,MATCH(A3,Overview!$A$2:$A$18,0)),"")</f>
        <v>Alabama</v>
      </c>
      <c r="C3" s="7" t="s">
        <v>117</v>
      </c>
      <c r="D3" s="15"/>
    </row>
    <row r="4" customFormat="false" ht="15" hidden="false" customHeight="false" outlineLevel="0" collapsed="false">
      <c r="A4" s="7" t="s">
        <v>24</v>
      </c>
      <c r="B4" s="7" t="str">
        <f aca="false">IFERROR(INDEX(Overview!$B$2:$B$18,MATCH(A4,Overview!$A$2:$A$18,0)),"")</f>
        <v>Alabama</v>
      </c>
      <c r="C4" s="7" t="s">
        <v>118</v>
      </c>
      <c r="D4" s="15"/>
    </row>
    <row r="5" customFormat="false" ht="15" hidden="false" customHeight="false" outlineLevel="0" collapsed="false">
      <c r="A5" s="7" t="s">
        <v>26</v>
      </c>
      <c r="B5" s="7" t="str">
        <f aca="false">IFERROR(INDEX(Overview!$B$2:$B$18,MATCH(A5,Overview!$A$2:$A$18,0)),"")</f>
        <v>Arkansas</v>
      </c>
      <c r="C5" s="7" t="s">
        <v>119</v>
      </c>
      <c r="D5" s="15"/>
    </row>
    <row r="6" customFormat="false" ht="15" hidden="false" customHeight="false" outlineLevel="0" collapsed="false">
      <c r="A6" s="7" t="s">
        <v>26</v>
      </c>
      <c r="B6" s="7" t="str">
        <f aca="false">IFERROR(INDEX(Overview!$B$2:$B$18,MATCH(A6,Overview!$A$2:$A$18,0)),"")</f>
        <v>Arkansas</v>
      </c>
      <c r="C6" s="7" t="s">
        <v>120</v>
      </c>
      <c r="D6" s="15"/>
    </row>
    <row r="7" customFormat="false" ht="15" hidden="false" customHeight="false" outlineLevel="0" collapsed="false">
      <c r="A7" s="7" t="s">
        <v>26</v>
      </c>
      <c r="B7" s="7" t="str">
        <f aca="false">IFERROR(INDEX(Overview!$B$2:$B$18,MATCH(A7,Overview!$A$2:$A$18,0)),"")</f>
        <v>Arkansas</v>
      </c>
      <c r="C7" s="7" t="s">
        <v>121</v>
      </c>
      <c r="D7" s="15"/>
    </row>
    <row r="8" customFormat="false" ht="15" hidden="false" customHeight="false" outlineLevel="0" collapsed="false">
      <c r="A8" s="7" t="s">
        <v>28</v>
      </c>
      <c r="B8" s="7" t="str">
        <f aca="false">IFERROR(INDEX(Overview!$B$2:$B$18,MATCH(A8,Overview!$A$2:$A$18,0)),"")</f>
        <v>Iowa</v>
      </c>
      <c r="C8" s="7" t="s">
        <v>122</v>
      </c>
      <c r="D8" s="15"/>
    </row>
    <row r="9" customFormat="false" ht="15" hidden="false" customHeight="false" outlineLevel="0" collapsed="false">
      <c r="A9" s="7" t="s">
        <v>28</v>
      </c>
      <c r="B9" s="7" t="str">
        <f aca="false">IFERROR(INDEX(Overview!$B$2:$B$18,MATCH(A9,Overview!$A$2:$A$18,0)),"")</f>
        <v>Iowa</v>
      </c>
      <c r="C9" s="7" t="s">
        <v>123</v>
      </c>
      <c r="D9" s="15"/>
    </row>
    <row r="10" customFormat="false" ht="15" hidden="false" customHeight="false" outlineLevel="0" collapsed="false">
      <c r="A10" s="7" t="s">
        <v>28</v>
      </c>
      <c r="B10" s="7" t="str">
        <f aca="false">IFERROR(INDEX(Overview!$B$2:$B$18,MATCH(A10,Overview!$A$2:$A$18,0)),"")</f>
        <v>Iowa</v>
      </c>
      <c r="C10" s="7" t="s">
        <v>124</v>
      </c>
      <c r="D10" s="15"/>
    </row>
    <row r="11" customFormat="false" ht="15" hidden="false" customHeight="false" outlineLevel="0" collapsed="false">
      <c r="A11" s="7" t="s">
        <v>30</v>
      </c>
      <c r="B11" s="7" t="str">
        <f aca="false">IFERROR(INDEX(Overview!$B$2:$B$18,MATCH(A11,Overview!$A$2:$A$18,0)),"")</f>
        <v>Idaho</v>
      </c>
      <c r="C11" s="7" t="s">
        <v>125</v>
      </c>
      <c r="D11" s="15"/>
    </row>
    <row r="12" customFormat="false" ht="15" hidden="false" customHeight="false" outlineLevel="0" collapsed="false">
      <c r="A12" s="7" t="s">
        <v>30</v>
      </c>
      <c r="B12" s="7" t="str">
        <f aca="false">IFERROR(INDEX(Overview!$B$2:$B$18,MATCH(A12,Overview!$A$2:$A$18,0)),"")</f>
        <v>Idaho</v>
      </c>
      <c r="C12" s="7" t="s">
        <v>126</v>
      </c>
      <c r="D12" s="15"/>
    </row>
    <row r="13" customFormat="false" ht="15" hidden="false" customHeight="false" outlineLevel="0" collapsed="false">
      <c r="A13" s="7" t="s">
        <v>30</v>
      </c>
      <c r="B13" s="7" t="str">
        <f aca="false">IFERROR(INDEX(Overview!$B$2:$B$18,MATCH(A13,Overview!$A$2:$A$18,0)),"")</f>
        <v>Idaho</v>
      </c>
      <c r="C13" s="7" t="s">
        <v>127</v>
      </c>
      <c r="D13" s="15"/>
    </row>
    <row r="14" customFormat="false" ht="15" hidden="false" customHeight="false" outlineLevel="0" collapsed="false">
      <c r="A14" s="7" t="s">
        <v>30</v>
      </c>
      <c r="B14" s="7" t="str">
        <f aca="false">IFERROR(INDEX(Overview!$B$2:$B$18,MATCH(A14,Overview!$A$2:$A$18,0)),"")</f>
        <v>Idaho</v>
      </c>
      <c r="C14" s="7" t="s">
        <v>128</v>
      </c>
      <c r="D14" s="15"/>
    </row>
    <row r="15" customFormat="false" ht="15" hidden="false" customHeight="false" outlineLevel="0" collapsed="false">
      <c r="A15" s="7" t="s">
        <v>32</v>
      </c>
      <c r="B15" s="7" t="str">
        <f aca="false">IFERROR(INDEX(Overview!$B$2:$B$18,MATCH(A15,Overview!$A$2:$A$18,0)),"")</f>
        <v>Kansas</v>
      </c>
      <c r="C15" s="7" t="s">
        <v>129</v>
      </c>
      <c r="D15" s="15"/>
    </row>
    <row r="16" customFormat="false" ht="15" hidden="false" customHeight="false" outlineLevel="0" collapsed="false">
      <c r="A16" s="7" t="s">
        <v>32</v>
      </c>
      <c r="B16" s="7" t="str">
        <f aca="false">IFERROR(INDEX(Overview!$B$2:$B$18,MATCH(A16,Overview!$A$2:$A$18,0)),"")</f>
        <v>Kansas</v>
      </c>
      <c r="C16" s="7" t="s">
        <v>130</v>
      </c>
      <c r="D16" s="15"/>
    </row>
    <row r="17" customFormat="false" ht="15" hidden="false" customHeight="false" outlineLevel="0" collapsed="false">
      <c r="A17" s="7" t="s">
        <v>32</v>
      </c>
      <c r="B17" s="7" t="str">
        <f aca="false">IFERROR(INDEX(Overview!$B$2:$B$18,MATCH(A17,Overview!$A$2:$A$18,0)),"")</f>
        <v>Kansas</v>
      </c>
      <c r="C17" s="7" t="s">
        <v>131</v>
      </c>
      <c r="D17" s="15"/>
    </row>
    <row r="18" customFormat="false" ht="15" hidden="false" customHeight="false" outlineLevel="0" collapsed="false">
      <c r="A18" s="7" t="s">
        <v>32</v>
      </c>
      <c r="B18" s="7" t="str">
        <f aca="false">IFERROR(INDEX(Overview!$B$2:$B$18,MATCH(A18,Overview!$A$2:$A$18,0)),"")</f>
        <v>Kansas</v>
      </c>
      <c r="C18" s="7" t="s">
        <v>132</v>
      </c>
      <c r="D18" s="15"/>
    </row>
    <row r="19" customFormat="false" ht="15" hidden="false" customHeight="false" outlineLevel="0" collapsed="false">
      <c r="A19" s="7" t="s">
        <v>34</v>
      </c>
      <c r="B19" s="7" t="str">
        <f aca="false">IFERROR(INDEX(Overview!$B$2:$B$18,MATCH(A19,Overview!$A$2:$A$18,0)),"")</f>
        <v>Kentucky</v>
      </c>
      <c r="C19" s="7" t="s">
        <v>133</v>
      </c>
      <c r="D19" s="15" t="s">
        <v>134</v>
      </c>
    </row>
    <row r="20" customFormat="false" ht="15" hidden="false" customHeight="false" outlineLevel="0" collapsed="false">
      <c r="A20" s="7" t="s">
        <v>34</v>
      </c>
      <c r="B20" s="7" t="str">
        <f aca="false">IFERROR(INDEX(Overview!$B$2:$B$18,MATCH(A20,Overview!$A$2:$A$18,0)),"")</f>
        <v>Kentucky</v>
      </c>
      <c r="C20" s="7" t="s">
        <v>135</v>
      </c>
      <c r="D20" s="15" t="s">
        <v>134</v>
      </c>
    </row>
    <row r="21" customFormat="false" ht="15" hidden="false" customHeight="false" outlineLevel="0" collapsed="false">
      <c r="A21" s="7" t="s">
        <v>34</v>
      </c>
      <c r="B21" s="7" t="str">
        <f aca="false">IFERROR(INDEX(Overview!$B$2:$B$18,MATCH(A21,Overview!$A$2:$A$18,0)),"")</f>
        <v>Kentucky</v>
      </c>
      <c r="C21" s="7" t="s">
        <v>136</v>
      </c>
      <c r="D21" s="15" t="s">
        <v>134</v>
      </c>
    </row>
    <row r="22" customFormat="false" ht="15" hidden="false" customHeight="false" outlineLevel="0" collapsed="false">
      <c r="A22" s="7" t="s">
        <v>34</v>
      </c>
      <c r="B22" s="7" t="str">
        <f aca="false">IFERROR(INDEX(Overview!$B$2:$B$18,MATCH(A22,Overview!$A$2:$A$18,0)),"")</f>
        <v>Kentucky</v>
      </c>
      <c r="C22" s="7" t="s">
        <v>137</v>
      </c>
      <c r="D22" s="15" t="s">
        <v>134</v>
      </c>
    </row>
    <row r="23" customFormat="false" ht="15" hidden="false" customHeight="false" outlineLevel="0" collapsed="false">
      <c r="A23" s="7" t="s">
        <v>36</v>
      </c>
      <c r="B23" s="7" t="str">
        <f aca="false">IFERROR(INDEX(Overview!$B$2:$B$18,MATCH(A23,Overview!$A$2:$A$18,0)),"")</f>
        <v>Louisiana</v>
      </c>
      <c r="C23" s="7" t="s">
        <v>138</v>
      </c>
      <c r="D23" s="15"/>
    </row>
    <row r="24" customFormat="false" ht="15" hidden="false" customHeight="false" outlineLevel="0" collapsed="false">
      <c r="A24" s="7" t="s">
        <v>36</v>
      </c>
      <c r="B24" s="7" t="str">
        <f aca="false">IFERROR(INDEX(Overview!$B$2:$B$18,MATCH(A24,Overview!$A$2:$A$18,0)),"")</f>
        <v>Louisiana</v>
      </c>
      <c r="C24" s="7" t="s">
        <v>139</v>
      </c>
      <c r="D24" s="15"/>
    </row>
    <row r="25" customFormat="false" ht="15" hidden="false" customHeight="false" outlineLevel="0" collapsed="false">
      <c r="A25" s="7" t="s">
        <v>36</v>
      </c>
      <c r="B25" s="7" t="str">
        <f aca="false">IFERROR(INDEX(Overview!$B$2:$B$18,MATCH(A25,Overview!$A$2:$A$18,0)),"")</f>
        <v>Louisiana</v>
      </c>
      <c r="C25" s="7" t="s">
        <v>140</v>
      </c>
      <c r="D25" s="15"/>
    </row>
    <row r="26" customFormat="false" ht="15" hidden="false" customHeight="false" outlineLevel="0" collapsed="false">
      <c r="A26" s="7" t="s">
        <v>38</v>
      </c>
      <c r="B26" s="7" t="str">
        <f aca="false">IFERROR(INDEX(Overview!$B$2:$B$18,MATCH(A26,Overview!$A$2:$A$18,0)),"")</f>
        <v>Mississippi</v>
      </c>
      <c r="C26" s="7" t="s">
        <v>141</v>
      </c>
      <c r="D26" s="15"/>
    </row>
    <row r="27" customFormat="false" ht="15" hidden="false" customHeight="false" outlineLevel="0" collapsed="false">
      <c r="A27" s="7" t="s">
        <v>38</v>
      </c>
      <c r="B27" s="7" t="str">
        <f aca="false">IFERROR(INDEX(Overview!$B$2:$B$18,MATCH(A27,Overview!$A$2:$A$18,0)),"")</f>
        <v>Mississippi</v>
      </c>
      <c r="C27" s="7" t="s">
        <v>142</v>
      </c>
      <c r="D27" s="15"/>
    </row>
    <row r="28" customFormat="false" ht="15" hidden="false" customHeight="false" outlineLevel="0" collapsed="false">
      <c r="A28" s="7" t="s">
        <v>38</v>
      </c>
      <c r="B28" s="7" t="str">
        <f aca="false">IFERROR(INDEX(Overview!$B$2:$B$18,MATCH(A28,Overview!$A$2:$A$18,0)),"")</f>
        <v>Mississippi</v>
      </c>
      <c r="C28" s="7" t="s">
        <v>143</v>
      </c>
      <c r="D28" s="15"/>
    </row>
    <row r="29" customFormat="false" ht="15" hidden="false" customHeight="false" outlineLevel="0" collapsed="false">
      <c r="A29" s="7" t="s">
        <v>40</v>
      </c>
      <c r="B29" s="7" t="str">
        <f aca="false">IFERROR(INDEX(Overview!$B$2:$B$18,MATCH(A29,Overview!$A$2:$A$18,0)),"")</f>
        <v>Montana</v>
      </c>
      <c r="C29" s="7" t="s">
        <v>144</v>
      </c>
      <c r="D29" s="15"/>
    </row>
    <row r="30" customFormat="false" ht="15" hidden="false" customHeight="false" outlineLevel="0" collapsed="false">
      <c r="A30" s="7" t="s">
        <v>40</v>
      </c>
      <c r="B30" s="7" t="str">
        <f aca="false">IFERROR(INDEX(Overview!$B$2:$B$18,MATCH(A30,Overview!$A$2:$A$18,0)),"")</f>
        <v>Montana</v>
      </c>
      <c r="C30" s="7" t="s">
        <v>145</v>
      </c>
      <c r="D30" s="15"/>
    </row>
    <row r="31" customFormat="false" ht="15" hidden="false" customHeight="false" outlineLevel="0" collapsed="false">
      <c r="A31" s="7" t="s">
        <v>40</v>
      </c>
      <c r="B31" s="7" t="str">
        <f aca="false">IFERROR(INDEX(Overview!$B$2:$B$18,MATCH(A31,Overview!$A$2:$A$18,0)),"")</f>
        <v>Montana</v>
      </c>
      <c r="C31" s="7" t="s">
        <v>146</v>
      </c>
      <c r="D31" s="15"/>
    </row>
    <row r="32" customFormat="false" ht="15" hidden="false" customHeight="false" outlineLevel="0" collapsed="false">
      <c r="A32" s="7" t="s">
        <v>40</v>
      </c>
      <c r="B32" s="7" t="str">
        <f aca="false">IFERROR(INDEX(Overview!$B$2:$B$18,MATCH(A32,Overview!$A$2:$A$18,0)),"")</f>
        <v>Montana</v>
      </c>
      <c r="C32" s="7" t="s">
        <v>147</v>
      </c>
      <c r="D32" s="15"/>
    </row>
    <row r="33" customFormat="false" ht="15" hidden="false" customHeight="false" outlineLevel="0" collapsed="false">
      <c r="A33" s="7" t="s">
        <v>42</v>
      </c>
      <c r="B33" s="7" t="str">
        <f aca="false">IFERROR(INDEX(Overview!$B$2:$B$18,MATCH(A33,Overview!$A$2:$A$18,0)),"")</f>
        <v>North Dakota</v>
      </c>
      <c r="C33" s="7" t="s">
        <v>148</v>
      </c>
      <c r="D33" s="15"/>
    </row>
    <row r="34" customFormat="false" ht="15" hidden="false" customHeight="false" outlineLevel="0" collapsed="false">
      <c r="A34" s="7" t="s">
        <v>42</v>
      </c>
      <c r="B34" s="7" t="str">
        <f aca="false">IFERROR(INDEX(Overview!$B$2:$B$18,MATCH(A34,Overview!$A$2:$A$18,0)),"")</f>
        <v>North Dakota</v>
      </c>
      <c r="C34" s="7" t="s">
        <v>149</v>
      </c>
      <c r="D34" s="15"/>
    </row>
    <row r="35" customFormat="false" ht="15" hidden="false" customHeight="false" outlineLevel="0" collapsed="false">
      <c r="A35" s="7" t="s">
        <v>42</v>
      </c>
      <c r="B35" s="7" t="str">
        <f aca="false">IFERROR(INDEX(Overview!$B$2:$B$18,MATCH(A35,Overview!$A$2:$A$18,0)),"")</f>
        <v>North Dakota</v>
      </c>
      <c r="C35" s="7" t="s">
        <v>150</v>
      </c>
      <c r="D35" s="15"/>
    </row>
    <row r="36" customFormat="false" ht="15" hidden="false" customHeight="false" outlineLevel="0" collapsed="false">
      <c r="A36" s="7" t="s">
        <v>42</v>
      </c>
      <c r="B36" s="7" t="str">
        <f aca="false">IFERROR(INDEX(Overview!$B$2:$B$18,MATCH(A36,Overview!$A$2:$A$18,0)),"")</f>
        <v>North Dakota</v>
      </c>
      <c r="C36" s="7" t="s">
        <v>151</v>
      </c>
      <c r="D36" s="15"/>
    </row>
    <row r="37" customFormat="false" ht="15" hidden="false" customHeight="false" outlineLevel="0" collapsed="false">
      <c r="A37" s="7" t="s">
        <v>44</v>
      </c>
      <c r="B37" s="7" t="str">
        <f aca="false">IFERROR(INDEX(Overview!$B$2:$B$18,MATCH(A37,Overview!$A$2:$A$18,0)),"")</f>
        <v>Nebraska</v>
      </c>
      <c r="C37" s="7" t="s">
        <v>152</v>
      </c>
      <c r="D37" s="15"/>
    </row>
    <row r="38" customFormat="false" ht="15" hidden="false" customHeight="false" outlineLevel="0" collapsed="false">
      <c r="A38" s="7" t="s">
        <v>44</v>
      </c>
      <c r="B38" s="7" t="str">
        <f aca="false">IFERROR(INDEX(Overview!$B$2:$B$18,MATCH(A38,Overview!$A$2:$A$18,0)),"")</f>
        <v>Nebraska</v>
      </c>
      <c r="C38" s="7" t="s">
        <v>153</v>
      </c>
      <c r="D38" s="15"/>
    </row>
    <row r="39" customFormat="false" ht="15" hidden="false" customHeight="false" outlineLevel="0" collapsed="false">
      <c r="A39" s="7" t="s">
        <v>44</v>
      </c>
      <c r="B39" s="7" t="str">
        <f aca="false">IFERROR(INDEX(Overview!$B$2:$B$18,MATCH(A39,Overview!$A$2:$A$18,0)),"")</f>
        <v>Nebraska</v>
      </c>
      <c r="C39" s="7" t="s">
        <v>154</v>
      </c>
      <c r="D39" s="15"/>
    </row>
    <row r="40" customFormat="false" ht="15" hidden="false" customHeight="false" outlineLevel="0" collapsed="false">
      <c r="A40" s="7" t="s">
        <v>44</v>
      </c>
      <c r="B40" s="7" t="str">
        <f aca="false">IFERROR(INDEX(Overview!$B$2:$B$18,MATCH(A40,Overview!$A$2:$A$18,0)),"")</f>
        <v>Nebraska</v>
      </c>
      <c r="C40" s="7" t="s">
        <v>155</v>
      </c>
      <c r="D40" s="15"/>
    </row>
    <row r="41" customFormat="false" ht="15" hidden="false" customHeight="false" outlineLevel="0" collapsed="false">
      <c r="A41" s="7" t="s">
        <v>46</v>
      </c>
      <c r="B41" s="7" t="str">
        <f aca="false">IFERROR(INDEX(Overview!$B$2:$B$18,MATCH(A41,Overview!$A$2:$A$18,0)),"")</f>
        <v>New Mexico</v>
      </c>
      <c r="C41" s="7" t="s">
        <v>156</v>
      </c>
      <c r="D41" s="15"/>
    </row>
    <row r="42" customFormat="false" ht="15" hidden="false" customHeight="false" outlineLevel="0" collapsed="false">
      <c r="A42" s="7" t="s">
        <v>46</v>
      </c>
      <c r="B42" s="7" t="str">
        <f aca="false">IFERROR(INDEX(Overview!$B$2:$B$18,MATCH(A42,Overview!$A$2:$A$18,0)),"")</f>
        <v>New Mexico</v>
      </c>
      <c r="C42" s="7" t="s">
        <v>157</v>
      </c>
      <c r="D42" s="15"/>
    </row>
    <row r="43" customFormat="false" ht="15" hidden="false" customHeight="false" outlineLevel="0" collapsed="false">
      <c r="A43" s="7" t="s">
        <v>46</v>
      </c>
      <c r="B43" s="7" t="str">
        <f aca="false">IFERROR(INDEX(Overview!$B$2:$B$18,MATCH(A43,Overview!$A$2:$A$18,0)),"")</f>
        <v>New Mexico</v>
      </c>
      <c r="C43" s="7" t="s">
        <v>158</v>
      </c>
      <c r="D43" s="15"/>
    </row>
    <row r="44" customFormat="false" ht="15" hidden="false" customHeight="false" outlineLevel="0" collapsed="false">
      <c r="A44" s="7" t="s">
        <v>46</v>
      </c>
      <c r="B44" s="7" t="str">
        <f aca="false">IFERROR(INDEX(Overview!$B$2:$B$18,MATCH(A44,Overview!$A$2:$A$18,0)),"")</f>
        <v>New Mexico</v>
      </c>
      <c r="C44" s="7" t="s">
        <v>159</v>
      </c>
      <c r="D44" s="15"/>
    </row>
    <row r="45" customFormat="false" ht="15" hidden="false" customHeight="false" outlineLevel="0" collapsed="false">
      <c r="A45" s="7" t="s">
        <v>48</v>
      </c>
      <c r="B45" s="7" t="str">
        <f aca="false">IFERROR(INDEX(Overview!$B$2:$B$18,MATCH(A45,Overview!$A$2:$A$18,0)),"")</f>
        <v>Oklahoma</v>
      </c>
      <c r="C45" s="7" t="s">
        <v>160</v>
      </c>
      <c r="D45" s="15"/>
    </row>
    <row r="46" customFormat="false" ht="15" hidden="false" customHeight="false" outlineLevel="0" collapsed="false">
      <c r="A46" s="7" t="s">
        <v>48</v>
      </c>
      <c r="B46" s="7" t="str">
        <f aca="false">IFERROR(INDEX(Overview!$B$2:$B$18,MATCH(A46,Overview!$A$2:$A$18,0)),"")</f>
        <v>Oklahoma</v>
      </c>
      <c r="C46" s="7" t="s">
        <v>161</v>
      </c>
      <c r="D46" s="15"/>
    </row>
    <row r="47" customFormat="false" ht="15" hidden="false" customHeight="false" outlineLevel="0" collapsed="false">
      <c r="A47" s="7" t="s">
        <v>48</v>
      </c>
      <c r="B47" s="7" t="str">
        <f aca="false">IFERROR(INDEX(Overview!$B$2:$B$18,MATCH(A47,Overview!$A$2:$A$18,0)),"")</f>
        <v>Oklahoma</v>
      </c>
      <c r="C47" s="7" t="s">
        <v>162</v>
      </c>
      <c r="D47" s="15"/>
    </row>
    <row r="48" customFormat="false" ht="15" hidden="false" customHeight="false" outlineLevel="0" collapsed="false">
      <c r="A48" s="7" t="s">
        <v>50</v>
      </c>
      <c r="B48" s="7" t="str">
        <f aca="false">IFERROR(INDEX(Overview!$B$2:$B$18,MATCH(A48,Overview!$A$2:$A$18,0)),"")</f>
        <v>South Dakota</v>
      </c>
      <c r="C48" s="7" t="s">
        <v>163</v>
      </c>
      <c r="D48" s="15"/>
    </row>
    <row r="49" customFormat="false" ht="15" hidden="false" customHeight="false" outlineLevel="0" collapsed="false">
      <c r="A49" s="7" t="s">
        <v>50</v>
      </c>
      <c r="B49" s="7" t="str">
        <f aca="false">IFERROR(INDEX(Overview!$B$2:$B$18,MATCH(A49,Overview!$A$2:$A$18,0)),"")</f>
        <v>South Dakota</v>
      </c>
      <c r="C49" s="7" t="s">
        <v>164</v>
      </c>
      <c r="D49" s="15"/>
    </row>
    <row r="50" customFormat="false" ht="15" hidden="false" customHeight="false" outlineLevel="0" collapsed="false">
      <c r="A50" s="7" t="s">
        <v>50</v>
      </c>
      <c r="B50" s="7" t="str">
        <f aca="false">IFERROR(INDEX(Overview!$B$2:$B$18,MATCH(A50,Overview!$A$2:$A$18,0)),"")</f>
        <v>South Dakota</v>
      </c>
      <c r="C50" s="7" t="s">
        <v>165</v>
      </c>
      <c r="D50" s="15"/>
    </row>
    <row r="51" customFormat="false" ht="15" hidden="false" customHeight="false" outlineLevel="0" collapsed="false">
      <c r="A51" s="7" t="s">
        <v>52</v>
      </c>
      <c r="B51" s="7" t="str">
        <f aca="false">IFERROR(INDEX(Overview!$B$2:$B$18,MATCH(A51,Overview!$A$2:$A$18,0)),"")</f>
        <v>Texas</v>
      </c>
      <c r="C51" s="7" t="s">
        <v>166</v>
      </c>
      <c r="D51" s="15" t="s">
        <v>167</v>
      </c>
    </row>
    <row r="52" customFormat="false" ht="15" hidden="false" customHeight="false" outlineLevel="0" collapsed="false">
      <c r="A52" s="7" t="s">
        <v>52</v>
      </c>
      <c r="B52" s="7" t="str">
        <f aca="false">IFERROR(INDEX(Overview!$B$2:$B$18,MATCH(A52,Overview!$A$2:$A$18,0)),"")</f>
        <v>Texas</v>
      </c>
      <c r="C52" s="7" t="s">
        <v>168</v>
      </c>
      <c r="D52" s="15" t="s">
        <v>167</v>
      </c>
    </row>
    <row r="53" customFormat="false" ht="15" hidden="false" customHeight="false" outlineLevel="0" collapsed="false">
      <c r="A53" s="7" t="s">
        <v>52</v>
      </c>
      <c r="B53" s="7" t="str">
        <f aca="false">IFERROR(INDEX(Overview!$B$2:$B$18,MATCH(A53,Overview!$A$2:$A$18,0)),"")</f>
        <v>Texas</v>
      </c>
      <c r="C53" s="7" t="s">
        <v>169</v>
      </c>
      <c r="D53" s="15" t="s">
        <v>167</v>
      </c>
    </row>
    <row r="54" customFormat="false" ht="15" hidden="false" customHeight="false" outlineLevel="0" collapsed="false">
      <c r="A54" s="7" t="s">
        <v>52</v>
      </c>
      <c r="B54" s="7" t="str">
        <f aca="false">IFERROR(INDEX(Overview!$B$2:$B$18,MATCH(A54,Overview!$A$2:$A$18,0)),"")</f>
        <v>Texas</v>
      </c>
      <c r="C54" s="7" t="s">
        <v>170</v>
      </c>
      <c r="D54" s="15" t="s">
        <v>167</v>
      </c>
    </row>
    <row r="55" customFormat="false" ht="15" hidden="false" customHeight="false" outlineLevel="0" collapsed="false">
      <c r="A55" s="7" t="s">
        <v>54</v>
      </c>
      <c r="B55" s="7" t="str">
        <f aca="false">IFERROR(INDEX(Overview!$B$2:$B$18,MATCH(A55,Overview!$A$2:$A$18,0)),"")</f>
        <v>West Virginia</v>
      </c>
      <c r="C55" s="7" t="s">
        <v>171</v>
      </c>
      <c r="D55" s="15"/>
    </row>
    <row r="56" customFormat="false" ht="15" hidden="false" customHeight="false" outlineLevel="0" collapsed="false">
      <c r="A56" s="7" t="s">
        <v>54</v>
      </c>
      <c r="B56" s="7" t="str">
        <f aca="false">IFERROR(INDEX(Overview!$B$2:$B$18,MATCH(A56,Overview!$A$2:$A$18,0)),"")</f>
        <v>West Virginia</v>
      </c>
      <c r="C56" s="7" t="s">
        <v>172</v>
      </c>
      <c r="D56" s="15"/>
    </row>
    <row r="57" customFormat="false" ht="15" hidden="false" customHeight="false" outlineLevel="0" collapsed="false">
      <c r="A57" s="7" t="s">
        <v>54</v>
      </c>
      <c r="B57" s="7" t="str">
        <f aca="false">IFERROR(INDEX(Overview!$B$2:$B$18,MATCH(A57,Overview!$A$2:$A$18,0)),"")</f>
        <v>West Virginia</v>
      </c>
      <c r="C57" s="7" t="s">
        <v>173</v>
      </c>
      <c r="D57" s="15"/>
    </row>
    <row r="58" customFormat="false" ht="15" hidden="false" customHeight="false" outlineLevel="0" collapsed="false">
      <c r="A58" s="7" t="s">
        <v>54</v>
      </c>
      <c r="B58" s="7" t="str">
        <f aca="false">IFERROR(INDEX(Overview!$B$2:$B$18,MATCH(A58,Overview!$A$2:$A$18,0)),"")</f>
        <v>West Virginia</v>
      </c>
      <c r="C58" s="7" t="s">
        <v>174</v>
      </c>
      <c r="D58" s="15"/>
    </row>
    <row r="59" customFormat="false" ht="15" hidden="false" customHeight="false" outlineLevel="0" collapsed="false">
      <c r="A59" s="7" t="s">
        <v>56</v>
      </c>
      <c r="B59" s="7" t="str">
        <f aca="false">IFERROR(INDEX(Overview!$B$2:$B$18,MATCH(A59,Overview!$A$2:$A$18,0)),"")</f>
        <v>Wyoming</v>
      </c>
      <c r="C59" s="7" t="s">
        <v>175</v>
      </c>
      <c r="D59" s="15"/>
    </row>
    <row r="60" customFormat="false" ht="15" hidden="false" customHeight="false" outlineLevel="0" collapsed="false">
      <c r="A60" s="7" t="s">
        <v>56</v>
      </c>
      <c r="B60" s="7" t="str">
        <f aca="false">IFERROR(INDEX(Overview!$B$2:$B$18,MATCH(A60,Overview!$A$2:$A$18,0)),"")</f>
        <v>Wyoming</v>
      </c>
      <c r="C60" s="7" t="s">
        <v>176</v>
      </c>
      <c r="D60" s="15"/>
    </row>
    <row r="61" customFormat="false" ht="15" hidden="false" customHeight="false" outlineLevel="0" collapsed="false">
      <c r="A61" s="7" t="s">
        <v>56</v>
      </c>
      <c r="B61" s="7" t="str">
        <f aca="false">IFERROR(INDEX(Overview!$B$2:$B$18,MATCH(A61,Overview!$A$2:$A$18,0)),"")</f>
        <v>Wyoming</v>
      </c>
      <c r="C61" s="7" t="s">
        <v>177</v>
      </c>
      <c r="D61" s="15"/>
    </row>
    <row r="62" customFormat="false" ht="15" hidden="false" customHeight="false" outlineLevel="0" collapsed="false">
      <c r="A62" s="7" t="s">
        <v>56</v>
      </c>
      <c r="B62" s="7" t="str">
        <f aca="false">IFERROR(INDEX(Overview!$B$2:$B$18,MATCH(A62,Overview!$A$2:$A$18,0)),"")</f>
        <v>Wyoming</v>
      </c>
      <c r="C62" s="7" t="s">
        <v>178</v>
      </c>
      <c r="D62" s="15"/>
    </row>
    <row r="63" customFormat="false" ht="15" hidden="false" customHeight="false" outlineLevel="0" collapsed="false">
      <c r="A63" s="7" t="s">
        <v>56</v>
      </c>
      <c r="B63" s="7" t="str">
        <f aca="false">IFERROR(INDEX(Overview!$B$2:$B$18,MATCH(A63,Overview!$A$2:$A$18,0)),"")</f>
        <v>Wyoming</v>
      </c>
      <c r="C63" s="7" t="s">
        <v>179</v>
      </c>
      <c r="D63" s="15"/>
    </row>
    <row r="64" customFormat="false" ht="15" hidden="false" customHeight="false" outlineLevel="0" collapsed="false">
      <c r="A64" s="7" t="s">
        <v>56</v>
      </c>
      <c r="B64" s="7" t="str">
        <f aca="false">IFERROR(INDEX(Overview!$B$2:$B$18,MATCH(A64,Overview!$A$2:$A$18,0)),"")</f>
        <v>Wyoming</v>
      </c>
      <c r="C64" s="7" t="s">
        <v>180</v>
      </c>
      <c r="D64" s="15"/>
    </row>
    <row r="66" customFormat="false" ht="15" hidden="false" customHeight="false" outlineLevel="0" collapsed="false">
      <c r="A66" s="11" t="s">
        <v>181</v>
      </c>
    </row>
  </sheetData>
  <autoFilter ref="A1:D64"/>
  <dataValidations count="1">
    <dataValidation allowBlank="true" errorStyle="stop" operator="between" showDropDown="false" showErrorMessage="false" showInputMessage="false" sqref="A2:A264" type="list">
      <formula1>"AL,AR,IA,ID,KS,KY,LA,MS,MT,ND,NE,NM,OK,SD,TX,WV,WY"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1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12"/>
  </cols>
  <sheetData>
    <row r="1" customFormat="false" ht="21.75" hidden="false" customHeight="true" outlineLevel="0" collapsed="false">
      <c r="A1" s="6" t="s">
        <v>12</v>
      </c>
      <c r="B1" s="6" t="s">
        <v>60</v>
      </c>
      <c r="C1" s="6" t="s">
        <v>61</v>
      </c>
      <c r="D1" s="6" t="s">
        <v>114</v>
      </c>
      <c r="E1" s="6" t="s">
        <v>182</v>
      </c>
      <c r="F1" s="6" t="s">
        <v>183</v>
      </c>
      <c r="G1" s="6" t="s">
        <v>20</v>
      </c>
    </row>
    <row r="2" customFormat="false" ht="15" hidden="false" customHeight="false" outlineLevel="0" collapsed="false">
      <c r="A2" s="7" t="s">
        <v>24</v>
      </c>
      <c r="B2" s="7" t="s">
        <v>64</v>
      </c>
      <c r="C2" s="7" t="s">
        <v>65</v>
      </c>
      <c r="D2" s="7" t="s">
        <v>116</v>
      </c>
      <c r="E2" s="16" t="str">
        <f aca="false">HYPERLINK("https://www.google.com/maps/search/"&amp;SUBSTITUTE(C2&amp;" "&amp;D2&amp;" "&amp;A2," ","+"),"Open Maps")</f>
        <v>Open Maps</v>
      </c>
      <c r="F2" s="15" t="s">
        <v>184</v>
      </c>
      <c r="G2" s="15"/>
    </row>
    <row r="3" customFormat="false" ht="15" hidden="false" customHeight="false" outlineLevel="0" collapsed="false">
      <c r="A3" s="7" t="s">
        <v>24</v>
      </c>
      <c r="B3" s="7" t="s">
        <v>64</v>
      </c>
      <c r="C3" s="7" t="s">
        <v>65</v>
      </c>
      <c r="D3" s="7" t="s">
        <v>117</v>
      </c>
      <c r="E3" s="16" t="str">
        <f aca="false">HYPERLINK("https://www.google.com/maps/search/"&amp;SUBSTITUTE(C3&amp;" "&amp;D3&amp;" "&amp;A3," ","+"),"Open Maps")</f>
        <v>Open Maps</v>
      </c>
      <c r="F3" s="15" t="s">
        <v>184</v>
      </c>
      <c r="G3" s="15"/>
    </row>
    <row r="4" customFormat="false" ht="15" hidden="false" customHeight="false" outlineLevel="0" collapsed="false">
      <c r="A4" s="7" t="s">
        <v>24</v>
      </c>
      <c r="B4" s="7" t="s">
        <v>64</v>
      </c>
      <c r="C4" s="7" t="s">
        <v>65</v>
      </c>
      <c r="D4" s="7" t="s">
        <v>118</v>
      </c>
      <c r="E4" s="16" t="str">
        <f aca="false">HYPERLINK("https://www.google.com/maps/search/"&amp;SUBSTITUTE(C4&amp;" "&amp;D4&amp;" "&amp;A4," ","+"),"Open Maps")</f>
        <v>Open Maps</v>
      </c>
      <c r="F4" s="15" t="s">
        <v>184</v>
      </c>
      <c r="G4" s="15"/>
    </row>
    <row r="5" customFormat="false" ht="15" hidden="false" customHeight="false" outlineLevel="0" collapsed="false">
      <c r="A5" s="7" t="s">
        <v>24</v>
      </c>
      <c r="B5" s="7" t="s">
        <v>67</v>
      </c>
      <c r="C5" s="7" t="s">
        <v>68</v>
      </c>
      <c r="D5" s="7" t="s">
        <v>116</v>
      </c>
      <c r="E5" s="16" t="str">
        <f aca="false">HYPERLINK("https://www.google.com/maps/search/"&amp;SUBSTITUTE(C5&amp;" "&amp;D5&amp;" "&amp;A5," ","+"),"Open Maps")</f>
        <v>Open Maps</v>
      </c>
      <c r="F5" s="15" t="s">
        <v>184</v>
      </c>
      <c r="G5" s="15"/>
    </row>
    <row r="6" customFormat="false" ht="15" hidden="false" customHeight="false" outlineLevel="0" collapsed="false">
      <c r="A6" s="7" t="s">
        <v>24</v>
      </c>
      <c r="B6" s="7" t="s">
        <v>67</v>
      </c>
      <c r="C6" s="7" t="s">
        <v>68</v>
      </c>
      <c r="D6" s="7" t="s">
        <v>117</v>
      </c>
      <c r="E6" s="16" t="str">
        <f aca="false">HYPERLINK("https://www.google.com/maps/search/"&amp;SUBSTITUTE(C6&amp;" "&amp;D6&amp;" "&amp;A6," ","+"),"Open Maps")</f>
        <v>Open Maps</v>
      </c>
      <c r="F6" s="15" t="s">
        <v>184</v>
      </c>
      <c r="G6" s="15"/>
    </row>
    <row r="7" customFormat="false" ht="15" hidden="false" customHeight="false" outlineLevel="0" collapsed="false">
      <c r="A7" s="7" t="s">
        <v>24</v>
      </c>
      <c r="B7" s="7" t="s">
        <v>67</v>
      </c>
      <c r="C7" s="7" t="s">
        <v>68</v>
      </c>
      <c r="D7" s="7" t="s">
        <v>118</v>
      </c>
      <c r="E7" s="16" t="str">
        <f aca="false">HYPERLINK("https://www.google.com/maps/search/"&amp;SUBSTITUTE(C7&amp;" "&amp;D7&amp;" "&amp;A7," ","+"),"Open Maps")</f>
        <v>Open Maps</v>
      </c>
      <c r="F7" s="15" t="s">
        <v>184</v>
      </c>
      <c r="G7" s="15"/>
    </row>
    <row r="8" customFormat="false" ht="15" hidden="false" customHeight="false" outlineLevel="0" collapsed="false">
      <c r="A8" s="7" t="s">
        <v>24</v>
      </c>
      <c r="B8" s="7" t="s">
        <v>67</v>
      </c>
      <c r="C8" s="7" t="s">
        <v>69</v>
      </c>
      <c r="D8" s="7" t="s">
        <v>116</v>
      </c>
      <c r="E8" s="16" t="str">
        <f aca="false">HYPERLINK("https://www.google.com/maps/search/"&amp;SUBSTITUTE(C8&amp;" "&amp;D8&amp;" "&amp;A8," ","+"),"Open Maps")</f>
        <v>Open Maps</v>
      </c>
      <c r="F8" s="15" t="s">
        <v>184</v>
      </c>
      <c r="G8" s="15"/>
    </row>
    <row r="9" customFormat="false" ht="15" hidden="false" customHeight="false" outlineLevel="0" collapsed="false">
      <c r="A9" s="7" t="s">
        <v>24</v>
      </c>
      <c r="B9" s="7" t="s">
        <v>67</v>
      </c>
      <c r="C9" s="7" t="s">
        <v>69</v>
      </c>
      <c r="D9" s="7" t="s">
        <v>117</v>
      </c>
      <c r="E9" s="16" t="str">
        <f aca="false">HYPERLINK("https://www.google.com/maps/search/"&amp;SUBSTITUTE(C9&amp;" "&amp;D9&amp;" "&amp;A9," ","+"),"Open Maps")</f>
        <v>Open Maps</v>
      </c>
      <c r="F9" s="15" t="s">
        <v>184</v>
      </c>
      <c r="G9" s="15"/>
    </row>
    <row r="10" customFormat="false" ht="15" hidden="false" customHeight="false" outlineLevel="0" collapsed="false">
      <c r="A10" s="7" t="s">
        <v>24</v>
      </c>
      <c r="B10" s="7" t="s">
        <v>67</v>
      </c>
      <c r="C10" s="7" t="s">
        <v>69</v>
      </c>
      <c r="D10" s="7" t="s">
        <v>118</v>
      </c>
      <c r="E10" s="16" t="str">
        <f aca="false">HYPERLINK("https://www.google.com/maps/search/"&amp;SUBSTITUTE(C10&amp;" "&amp;D10&amp;" "&amp;A10," ","+"),"Open Maps")</f>
        <v>Open Maps</v>
      </c>
      <c r="F10" s="15" t="s">
        <v>184</v>
      </c>
      <c r="G10" s="15"/>
    </row>
    <row r="11" customFormat="false" ht="15" hidden="false" customHeight="false" outlineLevel="0" collapsed="false">
      <c r="A11" s="7" t="s">
        <v>24</v>
      </c>
      <c r="B11" s="7" t="s">
        <v>67</v>
      </c>
      <c r="C11" s="7" t="s">
        <v>71</v>
      </c>
      <c r="D11" s="7" t="s">
        <v>116</v>
      </c>
      <c r="E11" s="16" t="str">
        <f aca="false">HYPERLINK("https://www.google.com/maps/search/"&amp;SUBSTITUTE(C11&amp;" "&amp;D11&amp;" "&amp;A11," ","+"),"Open Maps")</f>
        <v>Open Maps</v>
      </c>
      <c r="F11" s="15" t="s">
        <v>184</v>
      </c>
      <c r="G11" s="15"/>
    </row>
    <row r="12" customFormat="false" ht="15" hidden="false" customHeight="false" outlineLevel="0" collapsed="false">
      <c r="A12" s="7" t="s">
        <v>24</v>
      </c>
      <c r="B12" s="7" t="s">
        <v>67</v>
      </c>
      <c r="C12" s="7" t="s">
        <v>71</v>
      </c>
      <c r="D12" s="7" t="s">
        <v>117</v>
      </c>
      <c r="E12" s="16" t="str">
        <f aca="false">HYPERLINK("https://www.google.com/maps/search/"&amp;SUBSTITUTE(C12&amp;" "&amp;D12&amp;" "&amp;A12," ","+"),"Open Maps")</f>
        <v>Open Maps</v>
      </c>
      <c r="F12" s="15" t="s">
        <v>184</v>
      </c>
      <c r="G12" s="15"/>
    </row>
    <row r="13" customFormat="false" ht="15" hidden="false" customHeight="false" outlineLevel="0" collapsed="false">
      <c r="A13" s="7" t="s">
        <v>24</v>
      </c>
      <c r="B13" s="7" t="s">
        <v>67</v>
      </c>
      <c r="C13" s="7" t="s">
        <v>71</v>
      </c>
      <c r="D13" s="7" t="s">
        <v>118</v>
      </c>
      <c r="E13" s="16" t="str">
        <f aca="false">HYPERLINK("https://www.google.com/maps/search/"&amp;SUBSTITUTE(C13&amp;" "&amp;D13&amp;" "&amp;A13," ","+"),"Open Maps")</f>
        <v>Open Maps</v>
      </c>
      <c r="F13" s="15" t="s">
        <v>184</v>
      </c>
      <c r="G13" s="15"/>
    </row>
    <row r="14" customFormat="false" ht="15" hidden="false" customHeight="false" outlineLevel="0" collapsed="false">
      <c r="A14" s="7" t="s">
        <v>24</v>
      </c>
      <c r="B14" s="7" t="s">
        <v>67</v>
      </c>
      <c r="C14" s="7" t="s">
        <v>72</v>
      </c>
      <c r="D14" s="7" t="s">
        <v>116</v>
      </c>
      <c r="E14" s="16" t="str">
        <f aca="false">HYPERLINK("https://www.google.com/maps/search/"&amp;SUBSTITUTE(C14&amp;" "&amp;D14&amp;" "&amp;A14," ","+"),"Open Maps")</f>
        <v>Open Maps</v>
      </c>
      <c r="F14" s="15" t="s">
        <v>184</v>
      </c>
      <c r="G14" s="15"/>
    </row>
    <row r="15" customFormat="false" ht="15" hidden="false" customHeight="false" outlineLevel="0" collapsed="false">
      <c r="A15" s="7" t="s">
        <v>24</v>
      </c>
      <c r="B15" s="7" t="s">
        <v>67</v>
      </c>
      <c r="C15" s="7" t="s">
        <v>72</v>
      </c>
      <c r="D15" s="7" t="s">
        <v>117</v>
      </c>
      <c r="E15" s="16" t="str">
        <f aca="false">HYPERLINK("https://www.google.com/maps/search/"&amp;SUBSTITUTE(C15&amp;" "&amp;D15&amp;" "&amp;A15," ","+"),"Open Maps")</f>
        <v>Open Maps</v>
      </c>
      <c r="F15" s="15" t="s">
        <v>184</v>
      </c>
      <c r="G15" s="15"/>
    </row>
    <row r="16" customFormat="false" ht="15" hidden="false" customHeight="false" outlineLevel="0" collapsed="false">
      <c r="A16" s="7" t="s">
        <v>24</v>
      </c>
      <c r="B16" s="7" t="s">
        <v>67</v>
      </c>
      <c r="C16" s="7" t="s">
        <v>72</v>
      </c>
      <c r="D16" s="7" t="s">
        <v>118</v>
      </c>
      <c r="E16" s="16" t="str">
        <f aca="false">HYPERLINK("https://www.google.com/maps/search/"&amp;SUBSTITUTE(C16&amp;" "&amp;D16&amp;" "&amp;A16," ","+"),"Open Maps")</f>
        <v>Open Maps</v>
      </c>
      <c r="F16" s="15" t="s">
        <v>184</v>
      </c>
      <c r="G16" s="15"/>
    </row>
    <row r="17" customFormat="false" ht="15" hidden="false" customHeight="false" outlineLevel="0" collapsed="false">
      <c r="A17" s="7" t="s">
        <v>24</v>
      </c>
      <c r="B17" s="7" t="s">
        <v>67</v>
      </c>
      <c r="C17" s="7" t="s">
        <v>73</v>
      </c>
      <c r="D17" s="7" t="s">
        <v>116</v>
      </c>
      <c r="E17" s="16" t="str">
        <f aca="false">HYPERLINK("https://www.google.com/maps/search/"&amp;SUBSTITUTE(C17&amp;" "&amp;D17&amp;" "&amp;A17," ","+"),"Open Maps")</f>
        <v>Open Maps</v>
      </c>
      <c r="F17" s="15" t="s">
        <v>184</v>
      </c>
      <c r="G17" s="15"/>
    </row>
    <row r="18" customFormat="false" ht="15" hidden="false" customHeight="false" outlineLevel="0" collapsed="false">
      <c r="A18" s="7" t="s">
        <v>24</v>
      </c>
      <c r="B18" s="7" t="s">
        <v>67</v>
      </c>
      <c r="C18" s="7" t="s">
        <v>73</v>
      </c>
      <c r="D18" s="7" t="s">
        <v>117</v>
      </c>
      <c r="E18" s="16" t="str">
        <f aca="false">HYPERLINK("https://www.google.com/maps/search/"&amp;SUBSTITUTE(C18&amp;" "&amp;D18&amp;" "&amp;A18," ","+"),"Open Maps")</f>
        <v>Open Maps</v>
      </c>
      <c r="F18" s="15" t="s">
        <v>184</v>
      </c>
      <c r="G18" s="15"/>
    </row>
    <row r="19" customFormat="false" ht="15" hidden="false" customHeight="false" outlineLevel="0" collapsed="false">
      <c r="A19" s="7" t="s">
        <v>24</v>
      </c>
      <c r="B19" s="7" t="s">
        <v>67</v>
      </c>
      <c r="C19" s="7" t="s">
        <v>73</v>
      </c>
      <c r="D19" s="7" t="s">
        <v>118</v>
      </c>
      <c r="E19" s="16" t="str">
        <f aca="false">HYPERLINK("https://www.google.com/maps/search/"&amp;SUBSTITUTE(C19&amp;" "&amp;D19&amp;" "&amp;A19," ","+"),"Open Maps")</f>
        <v>Open Maps</v>
      </c>
      <c r="F19" s="15" t="s">
        <v>184</v>
      </c>
      <c r="G19" s="15"/>
    </row>
    <row r="20" customFormat="false" ht="15" hidden="false" customHeight="false" outlineLevel="0" collapsed="false">
      <c r="A20" s="7" t="s">
        <v>24</v>
      </c>
      <c r="B20" s="7" t="s">
        <v>67</v>
      </c>
      <c r="C20" s="7" t="s">
        <v>74</v>
      </c>
      <c r="D20" s="7" t="s">
        <v>116</v>
      </c>
      <c r="E20" s="16" t="str">
        <f aca="false">HYPERLINK("https://www.google.com/maps/search/"&amp;SUBSTITUTE(C20&amp;" "&amp;D20&amp;" "&amp;A20," ","+"),"Open Maps")</f>
        <v>Open Maps</v>
      </c>
      <c r="F20" s="15" t="s">
        <v>184</v>
      </c>
      <c r="G20" s="15"/>
    </row>
    <row r="21" customFormat="false" ht="15" hidden="false" customHeight="false" outlineLevel="0" collapsed="false">
      <c r="A21" s="7" t="s">
        <v>24</v>
      </c>
      <c r="B21" s="7" t="s">
        <v>67</v>
      </c>
      <c r="C21" s="7" t="s">
        <v>74</v>
      </c>
      <c r="D21" s="7" t="s">
        <v>117</v>
      </c>
      <c r="E21" s="16" t="str">
        <f aca="false">HYPERLINK("https://www.google.com/maps/search/"&amp;SUBSTITUTE(C21&amp;" "&amp;D21&amp;" "&amp;A21," ","+"),"Open Maps")</f>
        <v>Open Maps</v>
      </c>
      <c r="F21" s="15" t="s">
        <v>184</v>
      </c>
      <c r="G21" s="15"/>
    </row>
    <row r="22" customFormat="false" ht="15" hidden="false" customHeight="false" outlineLevel="0" collapsed="false">
      <c r="A22" s="7" t="s">
        <v>24</v>
      </c>
      <c r="B22" s="7" t="s">
        <v>67</v>
      </c>
      <c r="C22" s="7" t="s">
        <v>74</v>
      </c>
      <c r="D22" s="7" t="s">
        <v>118</v>
      </c>
      <c r="E22" s="16" t="str">
        <f aca="false">HYPERLINK("https://www.google.com/maps/search/"&amp;SUBSTITUTE(C22&amp;" "&amp;D22&amp;" "&amp;A22," ","+"),"Open Maps")</f>
        <v>Open Maps</v>
      </c>
      <c r="F22" s="15" t="s">
        <v>184</v>
      </c>
      <c r="G22" s="15"/>
    </row>
    <row r="23" customFormat="false" ht="15" hidden="false" customHeight="false" outlineLevel="0" collapsed="false">
      <c r="A23" s="7" t="s">
        <v>24</v>
      </c>
      <c r="B23" s="7" t="s">
        <v>67</v>
      </c>
      <c r="C23" s="7" t="s">
        <v>75</v>
      </c>
      <c r="D23" s="7" t="s">
        <v>116</v>
      </c>
      <c r="E23" s="16" t="str">
        <f aca="false">HYPERLINK("https://www.google.com/maps/search/"&amp;SUBSTITUTE(C23&amp;" "&amp;D23&amp;" "&amp;A23," ","+"),"Open Maps")</f>
        <v>Open Maps</v>
      </c>
      <c r="F23" s="15" t="s">
        <v>184</v>
      </c>
      <c r="G23" s="15"/>
    </row>
    <row r="24" customFormat="false" ht="15" hidden="false" customHeight="false" outlineLevel="0" collapsed="false">
      <c r="A24" s="7" t="s">
        <v>24</v>
      </c>
      <c r="B24" s="7" t="s">
        <v>67</v>
      </c>
      <c r="C24" s="7" t="s">
        <v>75</v>
      </c>
      <c r="D24" s="7" t="s">
        <v>117</v>
      </c>
      <c r="E24" s="16" t="str">
        <f aca="false">HYPERLINK("https://www.google.com/maps/search/"&amp;SUBSTITUTE(C24&amp;" "&amp;D24&amp;" "&amp;A24," ","+"),"Open Maps")</f>
        <v>Open Maps</v>
      </c>
      <c r="F24" s="15" t="s">
        <v>184</v>
      </c>
      <c r="G24" s="15"/>
    </row>
    <row r="25" customFormat="false" ht="15" hidden="false" customHeight="false" outlineLevel="0" collapsed="false">
      <c r="A25" s="7" t="s">
        <v>24</v>
      </c>
      <c r="B25" s="7" t="s">
        <v>67</v>
      </c>
      <c r="C25" s="7" t="s">
        <v>75</v>
      </c>
      <c r="D25" s="7" t="s">
        <v>118</v>
      </c>
      <c r="E25" s="16" t="str">
        <f aca="false">HYPERLINK("https://www.google.com/maps/search/"&amp;SUBSTITUTE(C25&amp;" "&amp;D25&amp;" "&amp;A25," ","+"),"Open Maps")</f>
        <v>Open Maps</v>
      </c>
      <c r="F25" s="15" t="s">
        <v>184</v>
      </c>
      <c r="G25" s="15"/>
    </row>
    <row r="26" customFormat="false" ht="15" hidden="false" customHeight="false" outlineLevel="0" collapsed="false">
      <c r="A26" s="7" t="s">
        <v>24</v>
      </c>
      <c r="B26" s="7" t="s">
        <v>76</v>
      </c>
      <c r="C26" s="7" t="s">
        <v>77</v>
      </c>
      <c r="D26" s="7" t="s">
        <v>116</v>
      </c>
      <c r="E26" s="16" t="str">
        <f aca="false">HYPERLINK("https://www.google.com/maps/search/"&amp;SUBSTITUTE(C26&amp;" "&amp;D26&amp;" "&amp;A26," ","+"),"Open Maps")</f>
        <v>Open Maps</v>
      </c>
      <c r="F26" s="15" t="s">
        <v>184</v>
      </c>
      <c r="G26" s="15"/>
    </row>
    <row r="27" customFormat="false" ht="15" hidden="false" customHeight="false" outlineLevel="0" collapsed="false">
      <c r="A27" s="7" t="s">
        <v>24</v>
      </c>
      <c r="B27" s="7" t="s">
        <v>76</v>
      </c>
      <c r="C27" s="7" t="s">
        <v>77</v>
      </c>
      <c r="D27" s="7" t="s">
        <v>117</v>
      </c>
      <c r="E27" s="16" t="str">
        <f aca="false">HYPERLINK("https://www.google.com/maps/search/"&amp;SUBSTITUTE(C27&amp;" "&amp;D27&amp;" "&amp;A27," ","+"),"Open Maps")</f>
        <v>Open Maps</v>
      </c>
      <c r="F27" s="15" t="s">
        <v>184</v>
      </c>
      <c r="G27" s="15"/>
    </row>
    <row r="28" customFormat="false" ht="15" hidden="false" customHeight="false" outlineLevel="0" collapsed="false">
      <c r="A28" s="7" t="s">
        <v>24</v>
      </c>
      <c r="B28" s="7" t="s">
        <v>76</v>
      </c>
      <c r="C28" s="7" t="s">
        <v>77</v>
      </c>
      <c r="D28" s="7" t="s">
        <v>118</v>
      </c>
      <c r="E28" s="16" t="str">
        <f aca="false">HYPERLINK("https://www.google.com/maps/search/"&amp;SUBSTITUTE(C28&amp;" "&amp;D28&amp;" "&amp;A28," ","+"),"Open Maps")</f>
        <v>Open Maps</v>
      </c>
      <c r="F28" s="15" t="s">
        <v>184</v>
      </c>
      <c r="G28" s="15"/>
    </row>
    <row r="29" customFormat="false" ht="15" hidden="false" customHeight="false" outlineLevel="0" collapsed="false">
      <c r="A29" s="7" t="s">
        <v>26</v>
      </c>
      <c r="B29" s="7" t="s">
        <v>64</v>
      </c>
      <c r="C29" s="7" t="s">
        <v>65</v>
      </c>
      <c r="D29" s="7" t="s">
        <v>119</v>
      </c>
      <c r="E29" s="16" t="str">
        <f aca="false">HYPERLINK("https://www.google.com/maps/search/"&amp;SUBSTITUTE(C29&amp;" "&amp;D29&amp;" "&amp;A29," ","+"),"Open Maps")</f>
        <v>Open Maps</v>
      </c>
      <c r="F29" s="15" t="s">
        <v>184</v>
      </c>
      <c r="G29" s="15"/>
    </row>
    <row r="30" customFormat="false" ht="15" hidden="false" customHeight="false" outlineLevel="0" collapsed="false">
      <c r="A30" s="7" t="s">
        <v>26</v>
      </c>
      <c r="B30" s="7" t="s">
        <v>64</v>
      </c>
      <c r="C30" s="7" t="s">
        <v>65</v>
      </c>
      <c r="D30" s="7" t="s">
        <v>120</v>
      </c>
      <c r="E30" s="16" t="str">
        <f aca="false">HYPERLINK("https://www.google.com/maps/search/"&amp;SUBSTITUTE(C30&amp;" "&amp;D30&amp;" "&amp;A30," ","+"),"Open Maps")</f>
        <v>Open Maps</v>
      </c>
      <c r="F30" s="15" t="s">
        <v>184</v>
      </c>
      <c r="G30" s="15"/>
    </row>
    <row r="31" customFormat="false" ht="15" hidden="false" customHeight="false" outlineLevel="0" collapsed="false">
      <c r="A31" s="7" t="s">
        <v>26</v>
      </c>
      <c r="B31" s="7" t="s">
        <v>64</v>
      </c>
      <c r="C31" s="7" t="s">
        <v>65</v>
      </c>
      <c r="D31" s="7" t="s">
        <v>121</v>
      </c>
      <c r="E31" s="16" t="str">
        <f aca="false">HYPERLINK("https://www.google.com/maps/search/"&amp;SUBSTITUTE(C31&amp;" "&amp;D31&amp;" "&amp;A31," ","+"),"Open Maps")</f>
        <v>Open Maps</v>
      </c>
      <c r="F31" s="15" t="s">
        <v>184</v>
      </c>
      <c r="G31" s="15"/>
    </row>
    <row r="32" customFormat="false" ht="15" hidden="false" customHeight="false" outlineLevel="0" collapsed="false">
      <c r="A32" s="7" t="s">
        <v>26</v>
      </c>
      <c r="B32" s="7" t="s">
        <v>67</v>
      </c>
      <c r="C32" s="7" t="s">
        <v>68</v>
      </c>
      <c r="D32" s="7" t="s">
        <v>119</v>
      </c>
      <c r="E32" s="16" t="str">
        <f aca="false">HYPERLINK("https://www.google.com/maps/search/"&amp;SUBSTITUTE(C32&amp;" "&amp;D32&amp;" "&amp;A32," ","+"),"Open Maps")</f>
        <v>Open Maps</v>
      </c>
      <c r="F32" s="15" t="s">
        <v>184</v>
      </c>
      <c r="G32" s="15"/>
    </row>
    <row r="33" customFormat="false" ht="15" hidden="false" customHeight="false" outlineLevel="0" collapsed="false">
      <c r="A33" s="7" t="s">
        <v>26</v>
      </c>
      <c r="B33" s="7" t="s">
        <v>67</v>
      </c>
      <c r="C33" s="7" t="s">
        <v>68</v>
      </c>
      <c r="D33" s="7" t="s">
        <v>120</v>
      </c>
      <c r="E33" s="16" t="str">
        <f aca="false">HYPERLINK("https://www.google.com/maps/search/"&amp;SUBSTITUTE(C33&amp;" "&amp;D33&amp;" "&amp;A33," ","+"),"Open Maps")</f>
        <v>Open Maps</v>
      </c>
      <c r="F33" s="15" t="s">
        <v>184</v>
      </c>
      <c r="G33" s="15"/>
    </row>
    <row r="34" customFormat="false" ht="15" hidden="false" customHeight="false" outlineLevel="0" collapsed="false">
      <c r="A34" s="7" t="s">
        <v>26</v>
      </c>
      <c r="B34" s="7" t="s">
        <v>67</v>
      </c>
      <c r="C34" s="7" t="s">
        <v>68</v>
      </c>
      <c r="D34" s="7" t="s">
        <v>121</v>
      </c>
      <c r="E34" s="16" t="str">
        <f aca="false">HYPERLINK("https://www.google.com/maps/search/"&amp;SUBSTITUTE(C34&amp;" "&amp;D34&amp;" "&amp;A34," ","+"),"Open Maps")</f>
        <v>Open Maps</v>
      </c>
      <c r="F34" s="15" t="s">
        <v>184</v>
      </c>
      <c r="G34" s="15"/>
    </row>
    <row r="35" customFormat="false" ht="15" hidden="false" customHeight="false" outlineLevel="0" collapsed="false">
      <c r="A35" s="7" t="s">
        <v>26</v>
      </c>
      <c r="B35" s="7" t="s">
        <v>67</v>
      </c>
      <c r="C35" s="7" t="s">
        <v>69</v>
      </c>
      <c r="D35" s="7" t="s">
        <v>119</v>
      </c>
      <c r="E35" s="16" t="str">
        <f aca="false">HYPERLINK("https://www.google.com/maps/search/"&amp;SUBSTITUTE(C35&amp;" "&amp;D35&amp;" "&amp;A35," ","+"),"Open Maps")</f>
        <v>Open Maps</v>
      </c>
      <c r="F35" s="15" t="s">
        <v>184</v>
      </c>
      <c r="G35" s="15"/>
    </row>
    <row r="36" customFormat="false" ht="15" hidden="false" customHeight="false" outlineLevel="0" collapsed="false">
      <c r="A36" s="7" t="s">
        <v>26</v>
      </c>
      <c r="B36" s="7" t="s">
        <v>67</v>
      </c>
      <c r="C36" s="7" t="s">
        <v>69</v>
      </c>
      <c r="D36" s="7" t="s">
        <v>120</v>
      </c>
      <c r="E36" s="16" t="str">
        <f aca="false">HYPERLINK("https://www.google.com/maps/search/"&amp;SUBSTITUTE(C36&amp;" "&amp;D36&amp;" "&amp;A36," ","+"),"Open Maps")</f>
        <v>Open Maps</v>
      </c>
      <c r="F36" s="15" t="s">
        <v>184</v>
      </c>
      <c r="G36" s="15"/>
    </row>
    <row r="37" customFormat="false" ht="15" hidden="false" customHeight="false" outlineLevel="0" collapsed="false">
      <c r="A37" s="7" t="s">
        <v>26</v>
      </c>
      <c r="B37" s="7" t="s">
        <v>67</v>
      </c>
      <c r="C37" s="7" t="s">
        <v>69</v>
      </c>
      <c r="D37" s="7" t="s">
        <v>121</v>
      </c>
      <c r="E37" s="16" t="str">
        <f aca="false">HYPERLINK("https://www.google.com/maps/search/"&amp;SUBSTITUTE(C37&amp;" "&amp;D37&amp;" "&amp;A37," ","+"),"Open Maps")</f>
        <v>Open Maps</v>
      </c>
      <c r="F37" s="15" t="s">
        <v>184</v>
      </c>
      <c r="G37" s="15"/>
    </row>
    <row r="38" customFormat="false" ht="15" hidden="false" customHeight="false" outlineLevel="0" collapsed="false">
      <c r="A38" s="7" t="s">
        <v>26</v>
      </c>
      <c r="B38" s="7" t="s">
        <v>67</v>
      </c>
      <c r="C38" s="7" t="s">
        <v>71</v>
      </c>
      <c r="D38" s="7" t="s">
        <v>119</v>
      </c>
      <c r="E38" s="16" t="str">
        <f aca="false">HYPERLINK("https://www.google.com/maps/search/"&amp;SUBSTITUTE(C38&amp;" "&amp;D38&amp;" "&amp;A38," ","+"),"Open Maps")</f>
        <v>Open Maps</v>
      </c>
      <c r="F38" s="15" t="s">
        <v>184</v>
      </c>
      <c r="G38" s="15"/>
    </row>
    <row r="39" customFormat="false" ht="15" hidden="false" customHeight="false" outlineLevel="0" collapsed="false">
      <c r="A39" s="7" t="s">
        <v>26</v>
      </c>
      <c r="B39" s="7" t="s">
        <v>67</v>
      </c>
      <c r="C39" s="7" t="s">
        <v>71</v>
      </c>
      <c r="D39" s="7" t="s">
        <v>120</v>
      </c>
      <c r="E39" s="16" t="str">
        <f aca="false">HYPERLINK("https://www.google.com/maps/search/"&amp;SUBSTITUTE(C39&amp;" "&amp;D39&amp;" "&amp;A39," ","+"),"Open Maps")</f>
        <v>Open Maps</v>
      </c>
      <c r="F39" s="15" t="s">
        <v>184</v>
      </c>
      <c r="G39" s="15"/>
    </row>
    <row r="40" customFormat="false" ht="15" hidden="false" customHeight="false" outlineLevel="0" collapsed="false">
      <c r="A40" s="7" t="s">
        <v>26</v>
      </c>
      <c r="B40" s="7" t="s">
        <v>67</v>
      </c>
      <c r="C40" s="7" t="s">
        <v>71</v>
      </c>
      <c r="D40" s="7" t="s">
        <v>121</v>
      </c>
      <c r="E40" s="16" t="str">
        <f aca="false">HYPERLINK("https://www.google.com/maps/search/"&amp;SUBSTITUTE(C40&amp;" "&amp;D40&amp;" "&amp;A40," ","+"),"Open Maps")</f>
        <v>Open Maps</v>
      </c>
      <c r="F40" s="15" t="s">
        <v>184</v>
      </c>
      <c r="G40" s="15"/>
    </row>
    <row r="41" customFormat="false" ht="15" hidden="false" customHeight="false" outlineLevel="0" collapsed="false">
      <c r="A41" s="7" t="s">
        <v>26</v>
      </c>
      <c r="B41" s="7" t="s">
        <v>67</v>
      </c>
      <c r="C41" s="7" t="s">
        <v>72</v>
      </c>
      <c r="D41" s="7" t="s">
        <v>119</v>
      </c>
      <c r="E41" s="16" t="str">
        <f aca="false">HYPERLINK("https://www.google.com/maps/search/"&amp;SUBSTITUTE(C41&amp;" "&amp;D41&amp;" "&amp;A41," ","+"),"Open Maps")</f>
        <v>Open Maps</v>
      </c>
      <c r="F41" s="15" t="s">
        <v>184</v>
      </c>
      <c r="G41" s="15"/>
    </row>
    <row r="42" customFormat="false" ht="15" hidden="false" customHeight="false" outlineLevel="0" collapsed="false">
      <c r="A42" s="7" t="s">
        <v>26</v>
      </c>
      <c r="B42" s="7" t="s">
        <v>67</v>
      </c>
      <c r="C42" s="7" t="s">
        <v>72</v>
      </c>
      <c r="D42" s="7" t="s">
        <v>120</v>
      </c>
      <c r="E42" s="16" t="str">
        <f aca="false">HYPERLINK("https://www.google.com/maps/search/"&amp;SUBSTITUTE(C42&amp;" "&amp;D42&amp;" "&amp;A42," ","+"),"Open Maps")</f>
        <v>Open Maps</v>
      </c>
      <c r="F42" s="15" t="s">
        <v>184</v>
      </c>
      <c r="G42" s="15"/>
    </row>
    <row r="43" customFormat="false" ht="15" hidden="false" customHeight="false" outlineLevel="0" collapsed="false">
      <c r="A43" s="7" t="s">
        <v>26</v>
      </c>
      <c r="B43" s="7" t="s">
        <v>67</v>
      </c>
      <c r="C43" s="7" t="s">
        <v>72</v>
      </c>
      <c r="D43" s="7" t="s">
        <v>121</v>
      </c>
      <c r="E43" s="16" t="str">
        <f aca="false">HYPERLINK("https://www.google.com/maps/search/"&amp;SUBSTITUTE(C43&amp;" "&amp;D43&amp;" "&amp;A43," ","+"),"Open Maps")</f>
        <v>Open Maps</v>
      </c>
      <c r="F43" s="15" t="s">
        <v>184</v>
      </c>
      <c r="G43" s="15"/>
    </row>
    <row r="44" customFormat="false" ht="15" hidden="false" customHeight="false" outlineLevel="0" collapsed="false">
      <c r="A44" s="7" t="s">
        <v>26</v>
      </c>
      <c r="B44" s="7" t="s">
        <v>67</v>
      </c>
      <c r="C44" s="7" t="s">
        <v>73</v>
      </c>
      <c r="D44" s="7" t="s">
        <v>119</v>
      </c>
      <c r="E44" s="16" t="str">
        <f aca="false">HYPERLINK("https://www.google.com/maps/search/"&amp;SUBSTITUTE(C44&amp;" "&amp;D44&amp;" "&amp;A44," ","+"),"Open Maps")</f>
        <v>Open Maps</v>
      </c>
      <c r="F44" s="15" t="s">
        <v>184</v>
      </c>
      <c r="G44" s="15"/>
    </row>
    <row r="45" customFormat="false" ht="15" hidden="false" customHeight="false" outlineLevel="0" collapsed="false">
      <c r="A45" s="7" t="s">
        <v>26</v>
      </c>
      <c r="B45" s="7" t="s">
        <v>67</v>
      </c>
      <c r="C45" s="7" t="s">
        <v>73</v>
      </c>
      <c r="D45" s="7" t="s">
        <v>120</v>
      </c>
      <c r="E45" s="16" t="str">
        <f aca="false">HYPERLINK("https://www.google.com/maps/search/"&amp;SUBSTITUTE(C45&amp;" "&amp;D45&amp;" "&amp;A45," ","+"),"Open Maps")</f>
        <v>Open Maps</v>
      </c>
      <c r="F45" s="15" t="s">
        <v>184</v>
      </c>
      <c r="G45" s="15"/>
    </row>
    <row r="46" customFormat="false" ht="15" hidden="false" customHeight="false" outlineLevel="0" collapsed="false">
      <c r="A46" s="7" t="s">
        <v>26</v>
      </c>
      <c r="B46" s="7" t="s">
        <v>67</v>
      </c>
      <c r="C46" s="7" t="s">
        <v>73</v>
      </c>
      <c r="D46" s="7" t="s">
        <v>121</v>
      </c>
      <c r="E46" s="16" t="str">
        <f aca="false">HYPERLINK("https://www.google.com/maps/search/"&amp;SUBSTITUTE(C46&amp;" "&amp;D46&amp;" "&amp;A46," ","+"),"Open Maps")</f>
        <v>Open Maps</v>
      </c>
      <c r="F46" s="15" t="s">
        <v>184</v>
      </c>
      <c r="G46" s="15"/>
    </row>
    <row r="47" customFormat="false" ht="15" hidden="false" customHeight="false" outlineLevel="0" collapsed="false">
      <c r="A47" s="7" t="s">
        <v>26</v>
      </c>
      <c r="B47" s="7" t="s">
        <v>67</v>
      </c>
      <c r="C47" s="7" t="s">
        <v>74</v>
      </c>
      <c r="D47" s="7" t="s">
        <v>119</v>
      </c>
      <c r="E47" s="16" t="str">
        <f aca="false">HYPERLINK("https://www.google.com/maps/search/"&amp;SUBSTITUTE(C47&amp;" "&amp;D47&amp;" "&amp;A47," ","+"),"Open Maps")</f>
        <v>Open Maps</v>
      </c>
      <c r="F47" s="15" t="s">
        <v>184</v>
      </c>
      <c r="G47" s="15"/>
    </row>
    <row r="48" customFormat="false" ht="15" hidden="false" customHeight="false" outlineLevel="0" collapsed="false">
      <c r="A48" s="7" t="s">
        <v>26</v>
      </c>
      <c r="B48" s="7" t="s">
        <v>67</v>
      </c>
      <c r="C48" s="7" t="s">
        <v>74</v>
      </c>
      <c r="D48" s="7" t="s">
        <v>120</v>
      </c>
      <c r="E48" s="16" t="str">
        <f aca="false">HYPERLINK("https://www.google.com/maps/search/"&amp;SUBSTITUTE(C48&amp;" "&amp;D48&amp;" "&amp;A48," ","+"),"Open Maps")</f>
        <v>Open Maps</v>
      </c>
      <c r="F48" s="15" t="s">
        <v>184</v>
      </c>
      <c r="G48" s="15"/>
    </row>
    <row r="49" customFormat="false" ht="15" hidden="false" customHeight="false" outlineLevel="0" collapsed="false">
      <c r="A49" s="7" t="s">
        <v>26</v>
      </c>
      <c r="B49" s="7" t="s">
        <v>67</v>
      </c>
      <c r="C49" s="7" t="s">
        <v>74</v>
      </c>
      <c r="D49" s="7" t="s">
        <v>121</v>
      </c>
      <c r="E49" s="16" t="str">
        <f aca="false">HYPERLINK("https://www.google.com/maps/search/"&amp;SUBSTITUTE(C49&amp;" "&amp;D49&amp;" "&amp;A49," ","+"),"Open Maps")</f>
        <v>Open Maps</v>
      </c>
      <c r="F49" s="15" t="s">
        <v>184</v>
      </c>
      <c r="G49" s="15"/>
    </row>
    <row r="50" customFormat="false" ht="15" hidden="false" customHeight="false" outlineLevel="0" collapsed="false">
      <c r="A50" s="7" t="s">
        <v>26</v>
      </c>
      <c r="B50" s="7" t="s">
        <v>67</v>
      </c>
      <c r="C50" s="7" t="s">
        <v>75</v>
      </c>
      <c r="D50" s="7" t="s">
        <v>119</v>
      </c>
      <c r="E50" s="16" t="str">
        <f aca="false">HYPERLINK("https://www.google.com/maps/search/"&amp;SUBSTITUTE(C50&amp;" "&amp;D50&amp;" "&amp;A50," ","+"),"Open Maps")</f>
        <v>Open Maps</v>
      </c>
      <c r="F50" s="15" t="s">
        <v>184</v>
      </c>
      <c r="G50" s="15"/>
    </row>
    <row r="51" customFormat="false" ht="15" hidden="false" customHeight="false" outlineLevel="0" collapsed="false">
      <c r="A51" s="7" t="s">
        <v>26</v>
      </c>
      <c r="B51" s="7" t="s">
        <v>67</v>
      </c>
      <c r="C51" s="7" t="s">
        <v>75</v>
      </c>
      <c r="D51" s="7" t="s">
        <v>120</v>
      </c>
      <c r="E51" s="16" t="str">
        <f aca="false">HYPERLINK("https://www.google.com/maps/search/"&amp;SUBSTITUTE(C51&amp;" "&amp;D51&amp;" "&amp;A51," ","+"),"Open Maps")</f>
        <v>Open Maps</v>
      </c>
      <c r="F51" s="15" t="s">
        <v>184</v>
      </c>
      <c r="G51" s="15"/>
    </row>
    <row r="52" customFormat="false" ht="15" hidden="false" customHeight="false" outlineLevel="0" collapsed="false">
      <c r="A52" s="7" t="s">
        <v>26</v>
      </c>
      <c r="B52" s="7" t="s">
        <v>67</v>
      </c>
      <c r="C52" s="7" t="s">
        <v>75</v>
      </c>
      <c r="D52" s="7" t="s">
        <v>121</v>
      </c>
      <c r="E52" s="16" t="str">
        <f aca="false">HYPERLINK("https://www.google.com/maps/search/"&amp;SUBSTITUTE(C52&amp;" "&amp;D52&amp;" "&amp;A52," ","+"),"Open Maps")</f>
        <v>Open Maps</v>
      </c>
      <c r="F52" s="15" t="s">
        <v>184</v>
      </c>
      <c r="G52" s="15"/>
    </row>
    <row r="53" customFormat="false" ht="15" hidden="false" customHeight="false" outlineLevel="0" collapsed="false">
      <c r="A53" s="7" t="s">
        <v>26</v>
      </c>
      <c r="B53" s="7" t="s">
        <v>76</v>
      </c>
      <c r="C53" s="7" t="s">
        <v>77</v>
      </c>
      <c r="D53" s="7" t="s">
        <v>119</v>
      </c>
      <c r="E53" s="16" t="str">
        <f aca="false">HYPERLINK("https://www.google.com/maps/search/"&amp;SUBSTITUTE(C53&amp;" "&amp;D53&amp;" "&amp;A53," ","+"),"Open Maps")</f>
        <v>Open Maps</v>
      </c>
      <c r="F53" s="15" t="s">
        <v>184</v>
      </c>
      <c r="G53" s="15"/>
    </row>
    <row r="54" customFormat="false" ht="15" hidden="false" customHeight="false" outlineLevel="0" collapsed="false">
      <c r="A54" s="7" t="s">
        <v>26</v>
      </c>
      <c r="B54" s="7" t="s">
        <v>76</v>
      </c>
      <c r="C54" s="7" t="s">
        <v>77</v>
      </c>
      <c r="D54" s="7" t="s">
        <v>120</v>
      </c>
      <c r="E54" s="16" t="str">
        <f aca="false">HYPERLINK("https://www.google.com/maps/search/"&amp;SUBSTITUTE(C54&amp;" "&amp;D54&amp;" "&amp;A54," ","+"),"Open Maps")</f>
        <v>Open Maps</v>
      </c>
      <c r="F54" s="15" t="s">
        <v>184</v>
      </c>
      <c r="G54" s="15"/>
    </row>
    <row r="55" customFormat="false" ht="15" hidden="false" customHeight="false" outlineLevel="0" collapsed="false">
      <c r="A55" s="7" t="s">
        <v>26</v>
      </c>
      <c r="B55" s="7" t="s">
        <v>76</v>
      </c>
      <c r="C55" s="7" t="s">
        <v>77</v>
      </c>
      <c r="D55" s="7" t="s">
        <v>121</v>
      </c>
      <c r="E55" s="16" t="str">
        <f aca="false">HYPERLINK("https://www.google.com/maps/search/"&amp;SUBSTITUTE(C55&amp;" "&amp;D55&amp;" "&amp;A55," ","+"),"Open Maps")</f>
        <v>Open Maps</v>
      </c>
      <c r="F55" s="15" t="s">
        <v>184</v>
      </c>
      <c r="G55" s="15"/>
    </row>
    <row r="56" customFormat="false" ht="15" hidden="false" customHeight="false" outlineLevel="0" collapsed="false">
      <c r="A56" s="7" t="s">
        <v>28</v>
      </c>
      <c r="B56" s="7" t="s">
        <v>64</v>
      </c>
      <c r="C56" s="7" t="s">
        <v>79</v>
      </c>
      <c r="D56" s="7" t="s">
        <v>122</v>
      </c>
      <c r="E56" s="16" t="str">
        <f aca="false">HYPERLINK("https://www.google.com/maps/search/"&amp;SUBSTITUTE(C56&amp;" "&amp;D56&amp;" "&amp;A56," ","+"),"Open Maps")</f>
        <v>Open Maps</v>
      </c>
      <c r="F56" s="15" t="s">
        <v>184</v>
      </c>
      <c r="G56" s="15"/>
    </row>
    <row r="57" customFormat="false" ht="15" hidden="false" customHeight="false" outlineLevel="0" collapsed="false">
      <c r="A57" s="7" t="s">
        <v>28</v>
      </c>
      <c r="B57" s="7" t="s">
        <v>64</v>
      </c>
      <c r="C57" s="7" t="s">
        <v>79</v>
      </c>
      <c r="D57" s="7" t="s">
        <v>123</v>
      </c>
      <c r="E57" s="16" t="str">
        <f aca="false">HYPERLINK("https://www.google.com/maps/search/"&amp;SUBSTITUTE(C57&amp;" "&amp;D57&amp;" "&amp;A57," ","+"),"Open Maps")</f>
        <v>Open Maps</v>
      </c>
      <c r="F57" s="15" t="s">
        <v>184</v>
      </c>
      <c r="G57" s="15"/>
    </row>
    <row r="58" customFormat="false" ht="15" hidden="false" customHeight="false" outlineLevel="0" collapsed="false">
      <c r="A58" s="7" t="s">
        <v>28</v>
      </c>
      <c r="B58" s="7" t="s">
        <v>64</v>
      </c>
      <c r="C58" s="7" t="s">
        <v>79</v>
      </c>
      <c r="D58" s="7" t="s">
        <v>124</v>
      </c>
      <c r="E58" s="16" t="str">
        <f aca="false">HYPERLINK("https://www.google.com/maps/search/"&amp;SUBSTITUTE(C58&amp;" "&amp;D58&amp;" "&amp;A58," ","+"),"Open Maps")</f>
        <v>Open Maps</v>
      </c>
      <c r="F58" s="15" t="s">
        <v>184</v>
      </c>
      <c r="G58" s="15"/>
    </row>
    <row r="59" customFormat="false" ht="15" hidden="false" customHeight="false" outlineLevel="0" collapsed="false">
      <c r="A59" s="7" t="s">
        <v>28</v>
      </c>
      <c r="B59" s="7" t="s">
        <v>67</v>
      </c>
      <c r="C59" s="7" t="s">
        <v>80</v>
      </c>
      <c r="D59" s="7" t="s">
        <v>122</v>
      </c>
      <c r="E59" s="16" t="str">
        <f aca="false">HYPERLINK("https://www.google.com/maps/search/"&amp;SUBSTITUTE(C59&amp;" "&amp;D59&amp;" "&amp;A59," ","+"),"Open Maps")</f>
        <v>Open Maps</v>
      </c>
      <c r="F59" s="15" t="s">
        <v>184</v>
      </c>
      <c r="G59" s="15"/>
    </row>
    <row r="60" customFormat="false" ht="15" hidden="false" customHeight="false" outlineLevel="0" collapsed="false">
      <c r="A60" s="7" t="s">
        <v>28</v>
      </c>
      <c r="B60" s="7" t="s">
        <v>67</v>
      </c>
      <c r="C60" s="7" t="s">
        <v>80</v>
      </c>
      <c r="D60" s="7" t="s">
        <v>123</v>
      </c>
      <c r="E60" s="16" t="str">
        <f aca="false">HYPERLINK("https://www.google.com/maps/search/"&amp;SUBSTITUTE(C60&amp;" "&amp;D60&amp;" "&amp;A60," ","+"),"Open Maps")</f>
        <v>Open Maps</v>
      </c>
      <c r="F60" s="15" t="s">
        <v>184</v>
      </c>
      <c r="G60" s="15"/>
    </row>
    <row r="61" customFormat="false" ht="15" hidden="false" customHeight="false" outlineLevel="0" collapsed="false">
      <c r="A61" s="7" t="s">
        <v>28</v>
      </c>
      <c r="B61" s="7" t="s">
        <v>67</v>
      </c>
      <c r="C61" s="7" t="s">
        <v>80</v>
      </c>
      <c r="D61" s="7" t="s">
        <v>124</v>
      </c>
      <c r="E61" s="16" t="str">
        <f aca="false">HYPERLINK("https://www.google.com/maps/search/"&amp;SUBSTITUTE(C61&amp;" "&amp;D61&amp;" "&amp;A61," ","+"),"Open Maps")</f>
        <v>Open Maps</v>
      </c>
      <c r="F61" s="15" t="s">
        <v>184</v>
      </c>
      <c r="G61" s="15"/>
    </row>
    <row r="62" customFormat="false" ht="15" hidden="false" customHeight="false" outlineLevel="0" collapsed="false">
      <c r="A62" s="7" t="s">
        <v>28</v>
      </c>
      <c r="B62" s="7" t="s">
        <v>67</v>
      </c>
      <c r="C62" s="7" t="s">
        <v>81</v>
      </c>
      <c r="D62" s="7" t="s">
        <v>122</v>
      </c>
      <c r="E62" s="16" t="str">
        <f aca="false">HYPERLINK("https://www.google.com/maps/search/"&amp;SUBSTITUTE(C62&amp;" "&amp;D62&amp;" "&amp;A62," ","+"),"Open Maps")</f>
        <v>Open Maps</v>
      </c>
      <c r="F62" s="15" t="s">
        <v>184</v>
      </c>
      <c r="G62" s="15"/>
    </row>
    <row r="63" customFormat="false" ht="15" hidden="false" customHeight="false" outlineLevel="0" collapsed="false">
      <c r="A63" s="7" t="s">
        <v>28</v>
      </c>
      <c r="B63" s="7" t="s">
        <v>67</v>
      </c>
      <c r="C63" s="7" t="s">
        <v>81</v>
      </c>
      <c r="D63" s="7" t="s">
        <v>123</v>
      </c>
      <c r="E63" s="16" t="str">
        <f aca="false">HYPERLINK("https://www.google.com/maps/search/"&amp;SUBSTITUTE(C63&amp;" "&amp;D63&amp;" "&amp;A63," ","+"),"Open Maps")</f>
        <v>Open Maps</v>
      </c>
      <c r="F63" s="15" t="s">
        <v>184</v>
      </c>
      <c r="G63" s="15"/>
    </row>
    <row r="64" customFormat="false" ht="15" hidden="false" customHeight="false" outlineLevel="0" collapsed="false">
      <c r="A64" s="7" t="s">
        <v>28</v>
      </c>
      <c r="B64" s="7" t="s">
        <v>67</v>
      </c>
      <c r="C64" s="7" t="s">
        <v>81</v>
      </c>
      <c r="D64" s="7" t="s">
        <v>124</v>
      </c>
      <c r="E64" s="16" t="str">
        <f aca="false">HYPERLINK("https://www.google.com/maps/search/"&amp;SUBSTITUTE(C64&amp;" "&amp;D64&amp;" "&amp;A64," ","+"),"Open Maps")</f>
        <v>Open Maps</v>
      </c>
      <c r="F64" s="15" t="s">
        <v>184</v>
      </c>
      <c r="G64" s="15"/>
    </row>
    <row r="65" customFormat="false" ht="15" hidden="false" customHeight="false" outlineLevel="0" collapsed="false">
      <c r="A65" s="7" t="s">
        <v>28</v>
      </c>
      <c r="B65" s="7" t="s">
        <v>67</v>
      </c>
      <c r="C65" s="7" t="s">
        <v>82</v>
      </c>
      <c r="D65" s="7" t="s">
        <v>122</v>
      </c>
      <c r="E65" s="16" t="str">
        <f aca="false">HYPERLINK("https://www.google.com/maps/search/"&amp;SUBSTITUTE(C65&amp;" "&amp;D65&amp;" "&amp;A65," ","+"),"Open Maps")</f>
        <v>Open Maps</v>
      </c>
      <c r="F65" s="15" t="s">
        <v>184</v>
      </c>
      <c r="G65" s="15"/>
    </row>
    <row r="66" customFormat="false" ht="15" hidden="false" customHeight="false" outlineLevel="0" collapsed="false">
      <c r="A66" s="7" t="s">
        <v>28</v>
      </c>
      <c r="B66" s="7" t="s">
        <v>67</v>
      </c>
      <c r="C66" s="7" t="s">
        <v>82</v>
      </c>
      <c r="D66" s="7" t="s">
        <v>123</v>
      </c>
      <c r="E66" s="16" t="str">
        <f aca="false">HYPERLINK("https://www.google.com/maps/search/"&amp;SUBSTITUTE(C66&amp;" "&amp;D66&amp;" "&amp;A66," ","+"),"Open Maps")</f>
        <v>Open Maps</v>
      </c>
      <c r="F66" s="15" t="s">
        <v>184</v>
      </c>
      <c r="G66" s="15"/>
    </row>
    <row r="67" customFormat="false" ht="15" hidden="false" customHeight="false" outlineLevel="0" collapsed="false">
      <c r="A67" s="7" t="s">
        <v>28</v>
      </c>
      <c r="B67" s="7" t="s">
        <v>67</v>
      </c>
      <c r="C67" s="7" t="s">
        <v>82</v>
      </c>
      <c r="D67" s="7" t="s">
        <v>124</v>
      </c>
      <c r="E67" s="16" t="str">
        <f aca="false">HYPERLINK("https://www.google.com/maps/search/"&amp;SUBSTITUTE(C67&amp;" "&amp;D67&amp;" "&amp;A67," ","+"),"Open Maps")</f>
        <v>Open Maps</v>
      </c>
      <c r="F67" s="15" t="s">
        <v>184</v>
      </c>
      <c r="G67" s="15"/>
    </row>
    <row r="68" customFormat="false" ht="15" hidden="false" customHeight="false" outlineLevel="0" collapsed="false">
      <c r="A68" s="7" t="s">
        <v>28</v>
      </c>
      <c r="B68" s="7" t="s">
        <v>67</v>
      </c>
      <c r="C68" s="7" t="s">
        <v>83</v>
      </c>
      <c r="D68" s="7" t="s">
        <v>122</v>
      </c>
      <c r="E68" s="16" t="str">
        <f aca="false">HYPERLINK("https://www.google.com/maps/search/"&amp;SUBSTITUTE(C68&amp;" "&amp;D68&amp;" "&amp;A68," ","+"),"Open Maps")</f>
        <v>Open Maps</v>
      </c>
      <c r="F68" s="15" t="s">
        <v>184</v>
      </c>
      <c r="G68" s="15"/>
    </row>
    <row r="69" customFormat="false" ht="15" hidden="false" customHeight="false" outlineLevel="0" collapsed="false">
      <c r="A69" s="7" t="s">
        <v>28</v>
      </c>
      <c r="B69" s="7" t="s">
        <v>67</v>
      </c>
      <c r="C69" s="7" t="s">
        <v>83</v>
      </c>
      <c r="D69" s="7" t="s">
        <v>123</v>
      </c>
      <c r="E69" s="16" t="str">
        <f aca="false">HYPERLINK("https://www.google.com/maps/search/"&amp;SUBSTITUTE(C69&amp;" "&amp;D69&amp;" "&amp;A69," ","+"),"Open Maps")</f>
        <v>Open Maps</v>
      </c>
      <c r="F69" s="15" t="s">
        <v>184</v>
      </c>
      <c r="G69" s="15"/>
    </row>
    <row r="70" customFormat="false" ht="15" hidden="false" customHeight="false" outlineLevel="0" collapsed="false">
      <c r="A70" s="7" t="s">
        <v>28</v>
      </c>
      <c r="B70" s="7" t="s">
        <v>67</v>
      </c>
      <c r="C70" s="7" t="s">
        <v>83</v>
      </c>
      <c r="D70" s="7" t="s">
        <v>124</v>
      </c>
      <c r="E70" s="16" t="str">
        <f aca="false">HYPERLINK("https://www.google.com/maps/search/"&amp;SUBSTITUTE(C70&amp;" "&amp;D70&amp;" "&amp;A70," ","+"),"Open Maps")</f>
        <v>Open Maps</v>
      </c>
      <c r="F70" s="15" t="s">
        <v>184</v>
      </c>
      <c r="G70" s="15"/>
    </row>
    <row r="71" customFormat="false" ht="15" hidden="false" customHeight="false" outlineLevel="0" collapsed="false">
      <c r="A71" s="7" t="s">
        <v>28</v>
      </c>
      <c r="B71" s="7" t="s">
        <v>67</v>
      </c>
      <c r="C71" s="7" t="s">
        <v>84</v>
      </c>
      <c r="D71" s="7" t="s">
        <v>122</v>
      </c>
      <c r="E71" s="16" t="str">
        <f aca="false">HYPERLINK("https://www.google.com/maps/search/"&amp;SUBSTITUTE(C71&amp;" "&amp;D71&amp;" "&amp;A71," ","+"),"Open Maps")</f>
        <v>Open Maps</v>
      </c>
      <c r="F71" s="15" t="s">
        <v>184</v>
      </c>
      <c r="G71" s="15"/>
    </row>
    <row r="72" customFormat="false" ht="15" hidden="false" customHeight="false" outlineLevel="0" collapsed="false">
      <c r="A72" s="7" t="s">
        <v>28</v>
      </c>
      <c r="B72" s="7" t="s">
        <v>67</v>
      </c>
      <c r="C72" s="7" t="s">
        <v>84</v>
      </c>
      <c r="D72" s="7" t="s">
        <v>123</v>
      </c>
      <c r="E72" s="16" t="str">
        <f aca="false">HYPERLINK("https://www.google.com/maps/search/"&amp;SUBSTITUTE(C72&amp;" "&amp;D72&amp;" "&amp;A72," ","+"),"Open Maps")</f>
        <v>Open Maps</v>
      </c>
      <c r="F72" s="15" t="s">
        <v>184</v>
      </c>
      <c r="G72" s="15"/>
    </row>
    <row r="73" customFormat="false" ht="15" hidden="false" customHeight="false" outlineLevel="0" collapsed="false">
      <c r="A73" s="7" t="s">
        <v>28</v>
      </c>
      <c r="B73" s="7" t="s">
        <v>67</v>
      </c>
      <c r="C73" s="7" t="s">
        <v>84</v>
      </c>
      <c r="D73" s="7" t="s">
        <v>124</v>
      </c>
      <c r="E73" s="16" t="str">
        <f aca="false">HYPERLINK("https://www.google.com/maps/search/"&amp;SUBSTITUTE(C73&amp;" "&amp;D73&amp;" "&amp;A73," ","+"),"Open Maps")</f>
        <v>Open Maps</v>
      </c>
      <c r="F73" s="15" t="s">
        <v>184</v>
      </c>
      <c r="G73" s="15"/>
    </row>
    <row r="74" customFormat="false" ht="15" hidden="false" customHeight="false" outlineLevel="0" collapsed="false">
      <c r="A74" s="7" t="s">
        <v>28</v>
      </c>
      <c r="B74" s="7" t="s">
        <v>67</v>
      </c>
      <c r="C74" s="7" t="s">
        <v>85</v>
      </c>
      <c r="D74" s="7" t="s">
        <v>122</v>
      </c>
      <c r="E74" s="16" t="str">
        <f aca="false">HYPERLINK("https://www.google.com/maps/search/"&amp;SUBSTITUTE(C74&amp;" "&amp;D74&amp;" "&amp;A74," ","+"),"Open Maps")</f>
        <v>Open Maps</v>
      </c>
      <c r="F74" s="15" t="s">
        <v>184</v>
      </c>
      <c r="G74" s="15"/>
    </row>
    <row r="75" customFormat="false" ht="15" hidden="false" customHeight="false" outlineLevel="0" collapsed="false">
      <c r="A75" s="7" t="s">
        <v>28</v>
      </c>
      <c r="B75" s="7" t="s">
        <v>67</v>
      </c>
      <c r="C75" s="7" t="s">
        <v>85</v>
      </c>
      <c r="D75" s="7" t="s">
        <v>123</v>
      </c>
      <c r="E75" s="16" t="str">
        <f aca="false">HYPERLINK("https://www.google.com/maps/search/"&amp;SUBSTITUTE(C75&amp;" "&amp;D75&amp;" "&amp;A75," ","+"),"Open Maps")</f>
        <v>Open Maps</v>
      </c>
      <c r="F75" s="15" t="s">
        <v>184</v>
      </c>
      <c r="G75" s="15"/>
    </row>
    <row r="76" customFormat="false" ht="15" hidden="false" customHeight="false" outlineLevel="0" collapsed="false">
      <c r="A76" s="7" t="s">
        <v>28</v>
      </c>
      <c r="B76" s="7" t="s">
        <v>67</v>
      </c>
      <c r="C76" s="7" t="s">
        <v>85</v>
      </c>
      <c r="D76" s="7" t="s">
        <v>124</v>
      </c>
      <c r="E76" s="16" t="str">
        <f aca="false">HYPERLINK("https://www.google.com/maps/search/"&amp;SUBSTITUTE(C76&amp;" "&amp;D76&amp;" "&amp;A76," ","+"),"Open Maps")</f>
        <v>Open Maps</v>
      </c>
      <c r="F76" s="15" t="s">
        <v>184</v>
      </c>
      <c r="G76" s="15"/>
    </row>
    <row r="77" customFormat="false" ht="15" hidden="false" customHeight="false" outlineLevel="0" collapsed="false">
      <c r="A77" s="7" t="s">
        <v>28</v>
      </c>
      <c r="B77" s="7" t="s">
        <v>67</v>
      </c>
      <c r="C77" s="7" t="s">
        <v>86</v>
      </c>
      <c r="D77" s="7" t="s">
        <v>122</v>
      </c>
      <c r="E77" s="16" t="str">
        <f aca="false">HYPERLINK("https://www.google.com/maps/search/"&amp;SUBSTITUTE(C77&amp;" "&amp;D77&amp;" "&amp;A77," ","+"),"Open Maps")</f>
        <v>Open Maps</v>
      </c>
      <c r="F77" s="15" t="s">
        <v>184</v>
      </c>
      <c r="G77" s="15"/>
    </row>
    <row r="78" customFormat="false" ht="15" hidden="false" customHeight="false" outlineLevel="0" collapsed="false">
      <c r="A78" s="7" t="s">
        <v>28</v>
      </c>
      <c r="B78" s="7" t="s">
        <v>67</v>
      </c>
      <c r="C78" s="7" t="s">
        <v>86</v>
      </c>
      <c r="D78" s="7" t="s">
        <v>123</v>
      </c>
      <c r="E78" s="16" t="str">
        <f aca="false">HYPERLINK("https://www.google.com/maps/search/"&amp;SUBSTITUTE(C78&amp;" "&amp;D78&amp;" "&amp;A78," ","+"),"Open Maps")</f>
        <v>Open Maps</v>
      </c>
      <c r="F78" s="15" t="s">
        <v>184</v>
      </c>
      <c r="G78" s="15"/>
    </row>
    <row r="79" customFormat="false" ht="15" hidden="false" customHeight="false" outlineLevel="0" collapsed="false">
      <c r="A79" s="7" t="s">
        <v>28</v>
      </c>
      <c r="B79" s="7" t="s">
        <v>67</v>
      </c>
      <c r="C79" s="7" t="s">
        <v>86</v>
      </c>
      <c r="D79" s="7" t="s">
        <v>124</v>
      </c>
      <c r="E79" s="16" t="str">
        <f aca="false">HYPERLINK("https://www.google.com/maps/search/"&amp;SUBSTITUTE(C79&amp;" "&amp;D79&amp;" "&amp;A79," ","+"),"Open Maps")</f>
        <v>Open Maps</v>
      </c>
      <c r="F79" s="15" t="s">
        <v>184</v>
      </c>
      <c r="G79" s="15"/>
    </row>
    <row r="80" customFormat="false" ht="15" hidden="false" customHeight="false" outlineLevel="0" collapsed="false">
      <c r="A80" s="7" t="s">
        <v>28</v>
      </c>
      <c r="B80" s="7" t="s">
        <v>76</v>
      </c>
      <c r="C80" s="7" t="s">
        <v>77</v>
      </c>
      <c r="D80" s="7" t="s">
        <v>122</v>
      </c>
      <c r="E80" s="16" t="str">
        <f aca="false">HYPERLINK("https://www.google.com/maps/search/"&amp;SUBSTITUTE(C80&amp;" "&amp;D80&amp;" "&amp;A80," ","+"),"Open Maps")</f>
        <v>Open Maps</v>
      </c>
      <c r="F80" s="15" t="s">
        <v>184</v>
      </c>
      <c r="G80" s="15"/>
    </row>
    <row r="81" customFormat="false" ht="15" hidden="false" customHeight="false" outlineLevel="0" collapsed="false">
      <c r="A81" s="7" t="s">
        <v>28</v>
      </c>
      <c r="B81" s="7" t="s">
        <v>76</v>
      </c>
      <c r="C81" s="7" t="s">
        <v>77</v>
      </c>
      <c r="D81" s="7" t="s">
        <v>123</v>
      </c>
      <c r="E81" s="16" t="str">
        <f aca="false">HYPERLINK("https://www.google.com/maps/search/"&amp;SUBSTITUTE(C81&amp;" "&amp;D81&amp;" "&amp;A81," ","+"),"Open Maps")</f>
        <v>Open Maps</v>
      </c>
      <c r="F81" s="15" t="s">
        <v>184</v>
      </c>
      <c r="G81" s="15"/>
    </row>
    <row r="82" customFormat="false" ht="15" hidden="false" customHeight="false" outlineLevel="0" collapsed="false">
      <c r="A82" s="7" t="s">
        <v>28</v>
      </c>
      <c r="B82" s="7" t="s">
        <v>76</v>
      </c>
      <c r="C82" s="7" t="s">
        <v>77</v>
      </c>
      <c r="D82" s="7" t="s">
        <v>124</v>
      </c>
      <c r="E82" s="16" t="str">
        <f aca="false">HYPERLINK("https://www.google.com/maps/search/"&amp;SUBSTITUTE(C82&amp;" "&amp;D82&amp;" "&amp;A82," ","+"),"Open Maps")</f>
        <v>Open Maps</v>
      </c>
      <c r="F82" s="15" t="s">
        <v>184</v>
      </c>
      <c r="G82" s="15"/>
    </row>
    <row r="83" customFormat="false" ht="15" hidden="false" customHeight="false" outlineLevel="0" collapsed="false">
      <c r="A83" s="7" t="s">
        <v>30</v>
      </c>
      <c r="B83" s="7" t="s">
        <v>64</v>
      </c>
      <c r="C83" s="7" t="s">
        <v>87</v>
      </c>
      <c r="D83" s="7" t="s">
        <v>125</v>
      </c>
      <c r="E83" s="16" t="str">
        <f aca="false">HYPERLINK("https://www.google.com/maps/search/"&amp;SUBSTITUTE(C83&amp;" "&amp;D83&amp;" "&amp;A83," ","+"),"Open Maps")</f>
        <v>Open Maps</v>
      </c>
      <c r="F83" s="15" t="s">
        <v>184</v>
      </c>
      <c r="G83" s="15"/>
    </row>
    <row r="84" customFormat="false" ht="15" hidden="false" customHeight="false" outlineLevel="0" collapsed="false">
      <c r="A84" s="7" t="s">
        <v>30</v>
      </c>
      <c r="B84" s="7" t="s">
        <v>64</v>
      </c>
      <c r="C84" s="7" t="s">
        <v>87</v>
      </c>
      <c r="D84" s="7" t="s">
        <v>126</v>
      </c>
      <c r="E84" s="16" t="str">
        <f aca="false">HYPERLINK("https://www.google.com/maps/search/"&amp;SUBSTITUTE(C84&amp;" "&amp;D84&amp;" "&amp;A84," ","+"),"Open Maps")</f>
        <v>Open Maps</v>
      </c>
      <c r="F84" s="15" t="s">
        <v>184</v>
      </c>
      <c r="G84" s="15"/>
    </row>
    <row r="85" customFormat="false" ht="15" hidden="false" customHeight="false" outlineLevel="0" collapsed="false">
      <c r="A85" s="7" t="s">
        <v>30</v>
      </c>
      <c r="B85" s="7" t="s">
        <v>64</v>
      </c>
      <c r="C85" s="7" t="s">
        <v>87</v>
      </c>
      <c r="D85" s="7" t="s">
        <v>127</v>
      </c>
      <c r="E85" s="16" t="str">
        <f aca="false">HYPERLINK("https://www.google.com/maps/search/"&amp;SUBSTITUTE(C85&amp;" "&amp;D85&amp;" "&amp;A85," ","+"),"Open Maps")</f>
        <v>Open Maps</v>
      </c>
      <c r="F85" s="15" t="s">
        <v>184</v>
      </c>
      <c r="G85" s="15"/>
    </row>
    <row r="86" customFormat="false" ht="15" hidden="false" customHeight="false" outlineLevel="0" collapsed="false">
      <c r="A86" s="7" t="s">
        <v>30</v>
      </c>
      <c r="B86" s="7" t="s">
        <v>64</v>
      </c>
      <c r="C86" s="7" t="s">
        <v>87</v>
      </c>
      <c r="D86" s="7" t="s">
        <v>128</v>
      </c>
      <c r="E86" s="16" t="str">
        <f aca="false">HYPERLINK("https://www.google.com/maps/search/"&amp;SUBSTITUTE(C86&amp;" "&amp;D86&amp;" "&amp;A86," ","+"),"Open Maps")</f>
        <v>Open Maps</v>
      </c>
      <c r="F86" s="15" t="s">
        <v>184</v>
      </c>
      <c r="G86" s="15"/>
    </row>
    <row r="87" customFormat="false" ht="15" hidden="false" customHeight="false" outlineLevel="0" collapsed="false">
      <c r="A87" s="7" t="s">
        <v>30</v>
      </c>
      <c r="B87" s="7" t="s">
        <v>67</v>
      </c>
      <c r="C87" s="7" t="s">
        <v>89</v>
      </c>
      <c r="D87" s="7" t="s">
        <v>125</v>
      </c>
      <c r="E87" s="16" t="str">
        <f aca="false">HYPERLINK("https://www.google.com/maps/search/"&amp;SUBSTITUTE(C87&amp;" "&amp;D87&amp;" "&amp;A87," ","+"),"Open Maps")</f>
        <v>Open Maps</v>
      </c>
      <c r="F87" s="15" t="s">
        <v>184</v>
      </c>
      <c r="G87" s="15"/>
    </row>
    <row r="88" customFormat="false" ht="15" hidden="false" customHeight="false" outlineLevel="0" collapsed="false">
      <c r="A88" s="7" t="s">
        <v>30</v>
      </c>
      <c r="B88" s="7" t="s">
        <v>67</v>
      </c>
      <c r="C88" s="7" t="s">
        <v>89</v>
      </c>
      <c r="D88" s="7" t="s">
        <v>126</v>
      </c>
      <c r="E88" s="16" t="str">
        <f aca="false">HYPERLINK("https://www.google.com/maps/search/"&amp;SUBSTITUTE(C88&amp;" "&amp;D88&amp;" "&amp;A88," ","+"),"Open Maps")</f>
        <v>Open Maps</v>
      </c>
      <c r="F88" s="15" t="s">
        <v>184</v>
      </c>
      <c r="G88" s="15"/>
    </row>
    <row r="89" customFormat="false" ht="15" hidden="false" customHeight="false" outlineLevel="0" collapsed="false">
      <c r="A89" s="7" t="s">
        <v>30</v>
      </c>
      <c r="B89" s="7" t="s">
        <v>67</v>
      </c>
      <c r="C89" s="7" t="s">
        <v>89</v>
      </c>
      <c r="D89" s="7" t="s">
        <v>127</v>
      </c>
      <c r="E89" s="16" t="str">
        <f aca="false">HYPERLINK("https://www.google.com/maps/search/"&amp;SUBSTITUTE(C89&amp;" "&amp;D89&amp;" "&amp;A89," ","+"),"Open Maps")</f>
        <v>Open Maps</v>
      </c>
      <c r="F89" s="15" t="s">
        <v>184</v>
      </c>
      <c r="G89" s="15"/>
    </row>
    <row r="90" customFormat="false" ht="15" hidden="false" customHeight="false" outlineLevel="0" collapsed="false">
      <c r="A90" s="7" t="s">
        <v>30</v>
      </c>
      <c r="B90" s="7" t="s">
        <v>67</v>
      </c>
      <c r="C90" s="7" t="s">
        <v>89</v>
      </c>
      <c r="D90" s="7" t="s">
        <v>128</v>
      </c>
      <c r="E90" s="16" t="str">
        <f aca="false">HYPERLINK("https://www.google.com/maps/search/"&amp;SUBSTITUTE(C90&amp;" "&amp;D90&amp;" "&amp;A90," ","+"),"Open Maps")</f>
        <v>Open Maps</v>
      </c>
      <c r="F90" s="15" t="s">
        <v>184</v>
      </c>
      <c r="G90" s="15"/>
    </row>
    <row r="91" customFormat="false" ht="15" hidden="false" customHeight="false" outlineLevel="0" collapsed="false">
      <c r="A91" s="7" t="s">
        <v>30</v>
      </c>
      <c r="B91" s="7" t="s">
        <v>67</v>
      </c>
      <c r="C91" s="7" t="s">
        <v>90</v>
      </c>
      <c r="D91" s="7" t="s">
        <v>125</v>
      </c>
      <c r="E91" s="16" t="str">
        <f aca="false">HYPERLINK("https://www.google.com/maps/search/"&amp;SUBSTITUTE(C91&amp;" "&amp;D91&amp;" "&amp;A91," ","+"),"Open Maps")</f>
        <v>Open Maps</v>
      </c>
      <c r="F91" s="15" t="s">
        <v>184</v>
      </c>
      <c r="G91" s="15"/>
    </row>
    <row r="92" customFormat="false" ht="15" hidden="false" customHeight="false" outlineLevel="0" collapsed="false">
      <c r="A92" s="7" t="s">
        <v>30</v>
      </c>
      <c r="B92" s="7" t="s">
        <v>67</v>
      </c>
      <c r="C92" s="7" t="s">
        <v>90</v>
      </c>
      <c r="D92" s="7" t="s">
        <v>126</v>
      </c>
      <c r="E92" s="16" t="str">
        <f aca="false">HYPERLINK("https://www.google.com/maps/search/"&amp;SUBSTITUTE(C92&amp;" "&amp;D92&amp;" "&amp;A92," ","+"),"Open Maps")</f>
        <v>Open Maps</v>
      </c>
      <c r="F92" s="15" t="s">
        <v>184</v>
      </c>
      <c r="G92" s="15"/>
    </row>
    <row r="93" customFormat="false" ht="15" hidden="false" customHeight="false" outlineLevel="0" collapsed="false">
      <c r="A93" s="7" t="s">
        <v>30</v>
      </c>
      <c r="B93" s="7" t="s">
        <v>67</v>
      </c>
      <c r="C93" s="7" t="s">
        <v>90</v>
      </c>
      <c r="D93" s="7" t="s">
        <v>127</v>
      </c>
      <c r="E93" s="16" t="str">
        <f aca="false">HYPERLINK("https://www.google.com/maps/search/"&amp;SUBSTITUTE(C93&amp;" "&amp;D93&amp;" "&amp;A93," ","+"),"Open Maps")</f>
        <v>Open Maps</v>
      </c>
      <c r="F93" s="15" t="s">
        <v>184</v>
      </c>
      <c r="G93" s="15"/>
    </row>
    <row r="94" customFormat="false" ht="15" hidden="false" customHeight="false" outlineLevel="0" collapsed="false">
      <c r="A94" s="7" t="s">
        <v>30</v>
      </c>
      <c r="B94" s="7" t="s">
        <v>67</v>
      </c>
      <c r="C94" s="7" t="s">
        <v>90</v>
      </c>
      <c r="D94" s="7" t="s">
        <v>128</v>
      </c>
      <c r="E94" s="16" t="str">
        <f aca="false">HYPERLINK("https://www.google.com/maps/search/"&amp;SUBSTITUTE(C94&amp;" "&amp;D94&amp;" "&amp;A94," ","+"),"Open Maps")</f>
        <v>Open Maps</v>
      </c>
      <c r="F94" s="15" t="s">
        <v>184</v>
      </c>
      <c r="G94" s="15"/>
    </row>
    <row r="95" customFormat="false" ht="15" hidden="false" customHeight="false" outlineLevel="0" collapsed="false">
      <c r="A95" s="7" t="s">
        <v>30</v>
      </c>
      <c r="B95" s="7" t="s">
        <v>67</v>
      </c>
      <c r="C95" s="7" t="s">
        <v>91</v>
      </c>
      <c r="D95" s="7" t="s">
        <v>125</v>
      </c>
      <c r="E95" s="16" t="str">
        <f aca="false">HYPERLINK("https://www.google.com/maps/search/"&amp;SUBSTITUTE(C95&amp;" "&amp;D95&amp;" "&amp;A95," ","+"),"Open Maps")</f>
        <v>Open Maps</v>
      </c>
      <c r="F95" s="15" t="s">
        <v>184</v>
      </c>
      <c r="G95" s="15"/>
    </row>
    <row r="96" customFormat="false" ht="15" hidden="false" customHeight="false" outlineLevel="0" collapsed="false">
      <c r="A96" s="7" t="s">
        <v>30</v>
      </c>
      <c r="B96" s="7" t="s">
        <v>67</v>
      </c>
      <c r="C96" s="7" t="s">
        <v>91</v>
      </c>
      <c r="D96" s="7" t="s">
        <v>126</v>
      </c>
      <c r="E96" s="16" t="str">
        <f aca="false">HYPERLINK("https://www.google.com/maps/search/"&amp;SUBSTITUTE(C96&amp;" "&amp;D96&amp;" "&amp;A96," ","+"),"Open Maps")</f>
        <v>Open Maps</v>
      </c>
      <c r="F96" s="15" t="s">
        <v>184</v>
      </c>
      <c r="G96" s="15"/>
    </row>
    <row r="97" customFormat="false" ht="15" hidden="false" customHeight="false" outlineLevel="0" collapsed="false">
      <c r="A97" s="7" t="s">
        <v>30</v>
      </c>
      <c r="B97" s="7" t="s">
        <v>67</v>
      </c>
      <c r="C97" s="7" t="s">
        <v>91</v>
      </c>
      <c r="D97" s="7" t="s">
        <v>127</v>
      </c>
      <c r="E97" s="16" t="str">
        <f aca="false">HYPERLINK("https://www.google.com/maps/search/"&amp;SUBSTITUTE(C97&amp;" "&amp;D97&amp;" "&amp;A97," ","+"),"Open Maps")</f>
        <v>Open Maps</v>
      </c>
      <c r="F97" s="15" t="s">
        <v>184</v>
      </c>
      <c r="G97" s="15"/>
    </row>
    <row r="98" customFormat="false" ht="15" hidden="false" customHeight="false" outlineLevel="0" collapsed="false">
      <c r="A98" s="7" t="s">
        <v>30</v>
      </c>
      <c r="B98" s="7" t="s">
        <v>67</v>
      </c>
      <c r="C98" s="7" t="s">
        <v>91</v>
      </c>
      <c r="D98" s="7" t="s">
        <v>128</v>
      </c>
      <c r="E98" s="16" t="str">
        <f aca="false">HYPERLINK("https://www.google.com/maps/search/"&amp;SUBSTITUTE(C98&amp;" "&amp;D98&amp;" "&amp;A98," ","+"),"Open Maps")</f>
        <v>Open Maps</v>
      </c>
      <c r="F98" s="15" t="s">
        <v>184</v>
      </c>
      <c r="G98" s="15"/>
    </row>
    <row r="99" customFormat="false" ht="15" hidden="false" customHeight="false" outlineLevel="0" collapsed="false">
      <c r="A99" s="7" t="s">
        <v>30</v>
      </c>
      <c r="B99" s="7" t="s">
        <v>67</v>
      </c>
      <c r="C99" s="7" t="s">
        <v>73</v>
      </c>
      <c r="D99" s="7" t="s">
        <v>125</v>
      </c>
      <c r="E99" s="16" t="str">
        <f aca="false">HYPERLINK("https://www.google.com/maps/search/"&amp;SUBSTITUTE(C99&amp;" "&amp;D99&amp;" "&amp;A99," ","+"),"Open Maps")</f>
        <v>Open Maps</v>
      </c>
      <c r="F99" s="15" t="s">
        <v>184</v>
      </c>
      <c r="G99" s="15"/>
    </row>
    <row r="100" customFormat="false" ht="15" hidden="false" customHeight="false" outlineLevel="0" collapsed="false">
      <c r="A100" s="7" t="s">
        <v>30</v>
      </c>
      <c r="B100" s="7" t="s">
        <v>67</v>
      </c>
      <c r="C100" s="7" t="s">
        <v>73</v>
      </c>
      <c r="D100" s="7" t="s">
        <v>126</v>
      </c>
      <c r="E100" s="16" t="str">
        <f aca="false">HYPERLINK("https://www.google.com/maps/search/"&amp;SUBSTITUTE(C100&amp;" "&amp;D100&amp;" "&amp;A100," ","+"),"Open Maps")</f>
        <v>Open Maps</v>
      </c>
      <c r="F100" s="15" t="s">
        <v>184</v>
      </c>
      <c r="G100" s="15"/>
    </row>
    <row r="101" customFormat="false" ht="15" hidden="false" customHeight="false" outlineLevel="0" collapsed="false">
      <c r="A101" s="7" t="s">
        <v>30</v>
      </c>
      <c r="B101" s="7" t="s">
        <v>67</v>
      </c>
      <c r="C101" s="7" t="s">
        <v>73</v>
      </c>
      <c r="D101" s="7" t="s">
        <v>127</v>
      </c>
      <c r="E101" s="16" t="str">
        <f aca="false">HYPERLINK("https://www.google.com/maps/search/"&amp;SUBSTITUTE(C101&amp;" "&amp;D101&amp;" "&amp;A101," ","+"),"Open Maps")</f>
        <v>Open Maps</v>
      </c>
      <c r="F101" s="15" t="s">
        <v>184</v>
      </c>
      <c r="G101" s="15"/>
    </row>
    <row r="102" customFormat="false" ht="15" hidden="false" customHeight="false" outlineLevel="0" collapsed="false">
      <c r="A102" s="7" t="s">
        <v>30</v>
      </c>
      <c r="B102" s="7" t="s">
        <v>67</v>
      </c>
      <c r="C102" s="7" t="s">
        <v>73</v>
      </c>
      <c r="D102" s="7" t="s">
        <v>128</v>
      </c>
      <c r="E102" s="16" t="str">
        <f aca="false">HYPERLINK("https://www.google.com/maps/search/"&amp;SUBSTITUTE(C102&amp;" "&amp;D102&amp;" "&amp;A102," ","+"),"Open Maps")</f>
        <v>Open Maps</v>
      </c>
      <c r="F102" s="15" t="s">
        <v>184</v>
      </c>
      <c r="G102" s="15"/>
    </row>
    <row r="103" customFormat="false" ht="15" hidden="false" customHeight="false" outlineLevel="0" collapsed="false">
      <c r="A103" s="7" t="s">
        <v>30</v>
      </c>
      <c r="B103" s="7" t="s">
        <v>67</v>
      </c>
      <c r="C103" s="7" t="s">
        <v>92</v>
      </c>
      <c r="D103" s="7" t="s">
        <v>125</v>
      </c>
      <c r="E103" s="16" t="str">
        <f aca="false">HYPERLINK("https://www.google.com/maps/search/"&amp;SUBSTITUTE(C103&amp;" "&amp;D103&amp;" "&amp;A103," ","+"),"Open Maps")</f>
        <v>Open Maps</v>
      </c>
      <c r="F103" s="15" t="s">
        <v>184</v>
      </c>
      <c r="G103" s="15"/>
    </row>
    <row r="104" customFormat="false" ht="15" hidden="false" customHeight="false" outlineLevel="0" collapsed="false">
      <c r="A104" s="7" t="s">
        <v>30</v>
      </c>
      <c r="B104" s="7" t="s">
        <v>67</v>
      </c>
      <c r="C104" s="7" t="s">
        <v>92</v>
      </c>
      <c r="D104" s="7" t="s">
        <v>126</v>
      </c>
      <c r="E104" s="16" t="str">
        <f aca="false">HYPERLINK("https://www.google.com/maps/search/"&amp;SUBSTITUTE(C104&amp;" "&amp;D104&amp;" "&amp;A104," ","+"),"Open Maps")</f>
        <v>Open Maps</v>
      </c>
      <c r="F104" s="15" t="s">
        <v>184</v>
      </c>
      <c r="G104" s="15"/>
    </row>
    <row r="105" customFormat="false" ht="15" hidden="false" customHeight="false" outlineLevel="0" collapsed="false">
      <c r="A105" s="7" t="s">
        <v>30</v>
      </c>
      <c r="B105" s="7" t="s">
        <v>67</v>
      </c>
      <c r="C105" s="7" t="s">
        <v>92</v>
      </c>
      <c r="D105" s="7" t="s">
        <v>127</v>
      </c>
      <c r="E105" s="16" t="str">
        <f aca="false">HYPERLINK("https://www.google.com/maps/search/"&amp;SUBSTITUTE(C105&amp;" "&amp;D105&amp;" "&amp;A105," ","+"),"Open Maps")</f>
        <v>Open Maps</v>
      </c>
      <c r="F105" s="15" t="s">
        <v>184</v>
      </c>
      <c r="G105" s="15"/>
    </row>
    <row r="106" customFormat="false" ht="15" hidden="false" customHeight="false" outlineLevel="0" collapsed="false">
      <c r="A106" s="7" t="s">
        <v>30</v>
      </c>
      <c r="B106" s="7" t="s">
        <v>67</v>
      </c>
      <c r="C106" s="7" t="s">
        <v>92</v>
      </c>
      <c r="D106" s="7" t="s">
        <v>128</v>
      </c>
      <c r="E106" s="16" t="str">
        <f aca="false">HYPERLINK("https://www.google.com/maps/search/"&amp;SUBSTITUTE(C106&amp;" "&amp;D106&amp;" "&amp;A106," ","+"),"Open Maps")</f>
        <v>Open Maps</v>
      </c>
      <c r="F106" s="15" t="s">
        <v>184</v>
      </c>
      <c r="G106" s="15"/>
    </row>
    <row r="107" customFormat="false" ht="15" hidden="false" customHeight="false" outlineLevel="0" collapsed="false">
      <c r="A107" s="7" t="s">
        <v>30</v>
      </c>
      <c r="B107" s="7" t="s">
        <v>67</v>
      </c>
      <c r="C107" s="7" t="s">
        <v>93</v>
      </c>
      <c r="D107" s="7" t="s">
        <v>125</v>
      </c>
      <c r="E107" s="16" t="str">
        <f aca="false">HYPERLINK("https://www.google.com/maps/search/"&amp;SUBSTITUTE(C107&amp;" "&amp;D107&amp;" "&amp;A107," ","+"),"Open Maps")</f>
        <v>Open Maps</v>
      </c>
      <c r="F107" s="15" t="s">
        <v>184</v>
      </c>
      <c r="G107" s="15"/>
    </row>
    <row r="108" customFormat="false" ht="15" hidden="false" customHeight="false" outlineLevel="0" collapsed="false">
      <c r="A108" s="7" t="s">
        <v>30</v>
      </c>
      <c r="B108" s="7" t="s">
        <v>67</v>
      </c>
      <c r="C108" s="7" t="s">
        <v>93</v>
      </c>
      <c r="D108" s="7" t="s">
        <v>126</v>
      </c>
      <c r="E108" s="16" t="str">
        <f aca="false">HYPERLINK("https://www.google.com/maps/search/"&amp;SUBSTITUTE(C108&amp;" "&amp;D108&amp;" "&amp;A108," ","+"),"Open Maps")</f>
        <v>Open Maps</v>
      </c>
      <c r="F108" s="15" t="s">
        <v>184</v>
      </c>
      <c r="G108" s="15"/>
    </row>
    <row r="109" customFormat="false" ht="15" hidden="false" customHeight="false" outlineLevel="0" collapsed="false">
      <c r="A109" s="7" t="s">
        <v>30</v>
      </c>
      <c r="B109" s="7" t="s">
        <v>67</v>
      </c>
      <c r="C109" s="7" t="s">
        <v>93</v>
      </c>
      <c r="D109" s="7" t="s">
        <v>127</v>
      </c>
      <c r="E109" s="16" t="str">
        <f aca="false">HYPERLINK("https://www.google.com/maps/search/"&amp;SUBSTITUTE(C109&amp;" "&amp;D109&amp;" "&amp;A109," ","+"),"Open Maps")</f>
        <v>Open Maps</v>
      </c>
      <c r="F109" s="15" t="s">
        <v>184</v>
      </c>
      <c r="G109" s="15"/>
    </row>
    <row r="110" customFormat="false" ht="15" hidden="false" customHeight="false" outlineLevel="0" collapsed="false">
      <c r="A110" s="7" t="s">
        <v>30</v>
      </c>
      <c r="B110" s="7" t="s">
        <v>67</v>
      </c>
      <c r="C110" s="7" t="s">
        <v>93</v>
      </c>
      <c r="D110" s="7" t="s">
        <v>128</v>
      </c>
      <c r="E110" s="16" t="str">
        <f aca="false">HYPERLINK("https://www.google.com/maps/search/"&amp;SUBSTITUTE(C110&amp;" "&amp;D110&amp;" "&amp;A110," ","+"),"Open Maps")</f>
        <v>Open Maps</v>
      </c>
      <c r="F110" s="15" t="s">
        <v>184</v>
      </c>
      <c r="G110" s="15"/>
    </row>
    <row r="111" customFormat="false" ht="15" hidden="false" customHeight="false" outlineLevel="0" collapsed="false">
      <c r="A111" s="7" t="s">
        <v>30</v>
      </c>
      <c r="B111" s="7" t="s">
        <v>67</v>
      </c>
      <c r="C111" s="7" t="s">
        <v>94</v>
      </c>
      <c r="D111" s="7" t="s">
        <v>125</v>
      </c>
      <c r="E111" s="16" t="str">
        <f aca="false">HYPERLINK("https://www.google.com/maps/search/"&amp;SUBSTITUTE(C111&amp;" "&amp;D111&amp;" "&amp;A111," ","+"),"Open Maps")</f>
        <v>Open Maps</v>
      </c>
      <c r="F111" s="15" t="s">
        <v>184</v>
      </c>
      <c r="G111" s="15"/>
    </row>
    <row r="112" customFormat="false" ht="15" hidden="false" customHeight="false" outlineLevel="0" collapsed="false">
      <c r="A112" s="7" t="s">
        <v>30</v>
      </c>
      <c r="B112" s="7" t="s">
        <v>67</v>
      </c>
      <c r="C112" s="7" t="s">
        <v>94</v>
      </c>
      <c r="D112" s="7" t="s">
        <v>126</v>
      </c>
      <c r="E112" s="16" t="str">
        <f aca="false">HYPERLINK("https://www.google.com/maps/search/"&amp;SUBSTITUTE(C112&amp;" "&amp;D112&amp;" "&amp;A112," ","+"),"Open Maps")</f>
        <v>Open Maps</v>
      </c>
      <c r="F112" s="15" t="s">
        <v>184</v>
      </c>
      <c r="G112" s="15"/>
    </row>
    <row r="113" customFormat="false" ht="15" hidden="false" customHeight="false" outlineLevel="0" collapsed="false">
      <c r="A113" s="7" t="s">
        <v>30</v>
      </c>
      <c r="B113" s="7" t="s">
        <v>67</v>
      </c>
      <c r="C113" s="7" t="s">
        <v>94</v>
      </c>
      <c r="D113" s="7" t="s">
        <v>127</v>
      </c>
      <c r="E113" s="16" t="str">
        <f aca="false">HYPERLINK("https://www.google.com/maps/search/"&amp;SUBSTITUTE(C113&amp;" "&amp;D113&amp;" "&amp;A113," ","+"),"Open Maps")</f>
        <v>Open Maps</v>
      </c>
      <c r="F113" s="15" t="s">
        <v>184</v>
      </c>
      <c r="G113" s="15"/>
    </row>
    <row r="114" customFormat="false" ht="15" hidden="false" customHeight="false" outlineLevel="0" collapsed="false">
      <c r="A114" s="7" t="s">
        <v>30</v>
      </c>
      <c r="B114" s="7" t="s">
        <v>67</v>
      </c>
      <c r="C114" s="7" t="s">
        <v>94</v>
      </c>
      <c r="D114" s="7" t="s">
        <v>128</v>
      </c>
      <c r="E114" s="16" t="str">
        <f aca="false">HYPERLINK("https://www.google.com/maps/search/"&amp;SUBSTITUTE(C114&amp;" "&amp;D114&amp;" "&amp;A114," ","+"),"Open Maps")</f>
        <v>Open Maps</v>
      </c>
      <c r="F114" s="15" t="s">
        <v>184</v>
      </c>
      <c r="G114" s="15"/>
    </row>
    <row r="115" customFormat="false" ht="15" hidden="false" customHeight="false" outlineLevel="0" collapsed="false">
      <c r="A115" s="7" t="s">
        <v>30</v>
      </c>
      <c r="B115" s="7" t="s">
        <v>76</v>
      </c>
      <c r="C115" s="7" t="s">
        <v>77</v>
      </c>
      <c r="D115" s="7" t="s">
        <v>125</v>
      </c>
      <c r="E115" s="16" t="str">
        <f aca="false">HYPERLINK("https://www.google.com/maps/search/"&amp;SUBSTITUTE(C115&amp;" "&amp;D115&amp;" "&amp;A115," ","+"),"Open Maps")</f>
        <v>Open Maps</v>
      </c>
      <c r="F115" s="15" t="s">
        <v>184</v>
      </c>
      <c r="G115" s="15"/>
    </row>
    <row r="116" customFormat="false" ht="15" hidden="false" customHeight="false" outlineLevel="0" collapsed="false">
      <c r="A116" s="7" t="s">
        <v>30</v>
      </c>
      <c r="B116" s="7" t="s">
        <v>76</v>
      </c>
      <c r="C116" s="7" t="s">
        <v>77</v>
      </c>
      <c r="D116" s="7" t="s">
        <v>126</v>
      </c>
      <c r="E116" s="16" t="str">
        <f aca="false">HYPERLINK("https://www.google.com/maps/search/"&amp;SUBSTITUTE(C116&amp;" "&amp;D116&amp;" "&amp;A116," ","+"),"Open Maps")</f>
        <v>Open Maps</v>
      </c>
      <c r="F116" s="15" t="s">
        <v>184</v>
      </c>
      <c r="G116" s="15"/>
    </row>
    <row r="117" customFormat="false" ht="15" hidden="false" customHeight="false" outlineLevel="0" collapsed="false">
      <c r="A117" s="7" t="s">
        <v>30</v>
      </c>
      <c r="B117" s="7" t="s">
        <v>76</v>
      </c>
      <c r="C117" s="7" t="s">
        <v>77</v>
      </c>
      <c r="D117" s="7" t="s">
        <v>127</v>
      </c>
      <c r="E117" s="16" t="str">
        <f aca="false">HYPERLINK("https://www.google.com/maps/search/"&amp;SUBSTITUTE(C117&amp;" "&amp;D117&amp;" "&amp;A117," ","+"),"Open Maps")</f>
        <v>Open Maps</v>
      </c>
      <c r="F117" s="15" t="s">
        <v>184</v>
      </c>
      <c r="G117" s="15"/>
    </row>
    <row r="118" customFormat="false" ht="15" hidden="false" customHeight="false" outlineLevel="0" collapsed="false">
      <c r="A118" s="7" t="s">
        <v>30</v>
      </c>
      <c r="B118" s="7" t="s">
        <v>76</v>
      </c>
      <c r="C118" s="7" t="s">
        <v>77</v>
      </c>
      <c r="D118" s="7" t="s">
        <v>128</v>
      </c>
      <c r="E118" s="16" t="str">
        <f aca="false">HYPERLINK("https://www.google.com/maps/search/"&amp;SUBSTITUTE(C118&amp;" "&amp;D118&amp;" "&amp;A118," ","+"),"Open Maps")</f>
        <v>Open Maps</v>
      </c>
      <c r="F118" s="15" t="s">
        <v>184</v>
      </c>
      <c r="G118" s="15"/>
    </row>
    <row r="119" customFormat="false" ht="15" hidden="false" customHeight="false" outlineLevel="0" collapsed="false">
      <c r="A119" s="7" t="s">
        <v>32</v>
      </c>
      <c r="B119" s="7" t="s">
        <v>64</v>
      </c>
      <c r="C119" s="7" t="s">
        <v>79</v>
      </c>
      <c r="D119" s="7" t="s">
        <v>129</v>
      </c>
      <c r="E119" s="16" t="str">
        <f aca="false">HYPERLINK("https://www.google.com/maps/search/"&amp;SUBSTITUTE(C119&amp;" "&amp;D119&amp;" "&amp;A119," ","+"),"Open Maps")</f>
        <v>Open Maps</v>
      </c>
      <c r="F119" s="15" t="s">
        <v>184</v>
      </c>
      <c r="G119" s="15"/>
    </row>
    <row r="120" customFormat="false" ht="15" hidden="false" customHeight="false" outlineLevel="0" collapsed="false">
      <c r="A120" s="7" t="s">
        <v>32</v>
      </c>
      <c r="B120" s="7" t="s">
        <v>64</v>
      </c>
      <c r="C120" s="7" t="s">
        <v>79</v>
      </c>
      <c r="D120" s="7" t="s">
        <v>130</v>
      </c>
      <c r="E120" s="16" t="str">
        <f aca="false">HYPERLINK("https://www.google.com/maps/search/"&amp;SUBSTITUTE(C120&amp;" "&amp;D120&amp;" "&amp;A120," ","+"),"Open Maps")</f>
        <v>Open Maps</v>
      </c>
      <c r="F120" s="15" t="s">
        <v>184</v>
      </c>
      <c r="G120" s="15"/>
    </row>
    <row r="121" customFormat="false" ht="15" hidden="false" customHeight="false" outlineLevel="0" collapsed="false">
      <c r="A121" s="7" t="s">
        <v>32</v>
      </c>
      <c r="B121" s="7" t="s">
        <v>64</v>
      </c>
      <c r="C121" s="7" t="s">
        <v>79</v>
      </c>
      <c r="D121" s="7" t="s">
        <v>131</v>
      </c>
      <c r="E121" s="16" t="str">
        <f aca="false">HYPERLINK("https://www.google.com/maps/search/"&amp;SUBSTITUTE(C121&amp;" "&amp;D121&amp;" "&amp;A121," ","+"),"Open Maps")</f>
        <v>Open Maps</v>
      </c>
      <c r="F121" s="15" t="s">
        <v>184</v>
      </c>
      <c r="G121" s="15"/>
    </row>
    <row r="122" customFormat="false" ht="15" hidden="false" customHeight="false" outlineLevel="0" collapsed="false">
      <c r="A122" s="7" t="s">
        <v>32</v>
      </c>
      <c r="B122" s="7" t="s">
        <v>64</v>
      </c>
      <c r="C122" s="7" t="s">
        <v>79</v>
      </c>
      <c r="D122" s="7" t="s">
        <v>132</v>
      </c>
      <c r="E122" s="16" t="str">
        <f aca="false">HYPERLINK("https://www.google.com/maps/search/"&amp;SUBSTITUTE(C122&amp;" "&amp;D122&amp;" "&amp;A122," ","+"),"Open Maps")</f>
        <v>Open Maps</v>
      </c>
      <c r="F122" s="15" t="s">
        <v>184</v>
      </c>
      <c r="G122" s="15"/>
    </row>
    <row r="123" customFormat="false" ht="15" hidden="false" customHeight="false" outlineLevel="0" collapsed="false">
      <c r="A123" s="7" t="s">
        <v>32</v>
      </c>
      <c r="B123" s="7" t="s">
        <v>67</v>
      </c>
      <c r="C123" s="7" t="s">
        <v>80</v>
      </c>
      <c r="D123" s="7" t="s">
        <v>129</v>
      </c>
      <c r="E123" s="16" t="str">
        <f aca="false">HYPERLINK("https://www.google.com/maps/search/"&amp;SUBSTITUTE(C123&amp;" "&amp;D123&amp;" "&amp;A123," ","+"),"Open Maps")</f>
        <v>Open Maps</v>
      </c>
      <c r="F123" s="15" t="s">
        <v>184</v>
      </c>
      <c r="G123" s="15"/>
    </row>
    <row r="124" customFormat="false" ht="15" hidden="false" customHeight="false" outlineLevel="0" collapsed="false">
      <c r="A124" s="7" t="s">
        <v>32</v>
      </c>
      <c r="B124" s="7" t="s">
        <v>67</v>
      </c>
      <c r="C124" s="7" t="s">
        <v>80</v>
      </c>
      <c r="D124" s="7" t="s">
        <v>130</v>
      </c>
      <c r="E124" s="16" t="str">
        <f aca="false">HYPERLINK("https://www.google.com/maps/search/"&amp;SUBSTITUTE(C124&amp;" "&amp;D124&amp;" "&amp;A124," ","+"),"Open Maps")</f>
        <v>Open Maps</v>
      </c>
      <c r="F124" s="15" t="s">
        <v>184</v>
      </c>
      <c r="G124" s="15"/>
    </row>
    <row r="125" customFormat="false" ht="15" hidden="false" customHeight="false" outlineLevel="0" collapsed="false">
      <c r="A125" s="7" t="s">
        <v>32</v>
      </c>
      <c r="B125" s="7" t="s">
        <v>67</v>
      </c>
      <c r="C125" s="7" t="s">
        <v>80</v>
      </c>
      <c r="D125" s="7" t="s">
        <v>131</v>
      </c>
      <c r="E125" s="16" t="str">
        <f aca="false">HYPERLINK("https://www.google.com/maps/search/"&amp;SUBSTITUTE(C125&amp;" "&amp;D125&amp;" "&amp;A125," ","+"),"Open Maps")</f>
        <v>Open Maps</v>
      </c>
      <c r="F125" s="15" t="s">
        <v>184</v>
      </c>
      <c r="G125" s="15"/>
    </row>
    <row r="126" customFormat="false" ht="15" hidden="false" customHeight="false" outlineLevel="0" collapsed="false">
      <c r="A126" s="7" t="s">
        <v>32</v>
      </c>
      <c r="B126" s="7" t="s">
        <v>67</v>
      </c>
      <c r="C126" s="7" t="s">
        <v>80</v>
      </c>
      <c r="D126" s="7" t="s">
        <v>132</v>
      </c>
      <c r="E126" s="16" t="str">
        <f aca="false">HYPERLINK("https://www.google.com/maps/search/"&amp;SUBSTITUTE(C126&amp;" "&amp;D126&amp;" "&amp;A126," ","+"),"Open Maps")</f>
        <v>Open Maps</v>
      </c>
      <c r="F126" s="15" t="s">
        <v>184</v>
      </c>
      <c r="G126" s="15"/>
    </row>
    <row r="127" customFormat="false" ht="15" hidden="false" customHeight="false" outlineLevel="0" collapsed="false">
      <c r="A127" s="7" t="s">
        <v>32</v>
      </c>
      <c r="B127" s="7" t="s">
        <v>67</v>
      </c>
      <c r="C127" s="7" t="s">
        <v>81</v>
      </c>
      <c r="D127" s="7" t="s">
        <v>129</v>
      </c>
      <c r="E127" s="16" t="str">
        <f aca="false">HYPERLINK("https://www.google.com/maps/search/"&amp;SUBSTITUTE(C127&amp;" "&amp;D127&amp;" "&amp;A127," ","+"),"Open Maps")</f>
        <v>Open Maps</v>
      </c>
      <c r="F127" s="15" t="s">
        <v>184</v>
      </c>
      <c r="G127" s="15"/>
    </row>
    <row r="128" customFormat="false" ht="15" hidden="false" customHeight="false" outlineLevel="0" collapsed="false">
      <c r="A128" s="7" t="s">
        <v>32</v>
      </c>
      <c r="B128" s="7" t="s">
        <v>67</v>
      </c>
      <c r="C128" s="7" t="s">
        <v>81</v>
      </c>
      <c r="D128" s="7" t="s">
        <v>130</v>
      </c>
      <c r="E128" s="16" t="str">
        <f aca="false">HYPERLINK("https://www.google.com/maps/search/"&amp;SUBSTITUTE(C128&amp;" "&amp;D128&amp;" "&amp;A128," ","+"),"Open Maps")</f>
        <v>Open Maps</v>
      </c>
      <c r="F128" s="15" t="s">
        <v>184</v>
      </c>
      <c r="G128" s="15"/>
    </row>
    <row r="129" customFormat="false" ht="15" hidden="false" customHeight="false" outlineLevel="0" collapsed="false">
      <c r="A129" s="7" t="s">
        <v>32</v>
      </c>
      <c r="B129" s="7" t="s">
        <v>67</v>
      </c>
      <c r="C129" s="7" t="s">
        <v>81</v>
      </c>
      <c r="D129" s="7" t="s">
        <v>131</v>
      </c>
      <c r="E129" s="16" t="str">
        <f aca="false">HYPERLINK("https://www.google.com/maps/search/"&amp;SUBSTITUTE(C129&amp;" "&amp;D129&amp;" "&amp;A129," ","+"),"Open Maps")</f>
        <v>Open Maps</v>
      </c>
      <c r="F129" s="15" t="s">
        <v>184</v>
      </c>
      <c r="G129" s="15"/>
    </row>
    <row r="130" customFormat="false" ht="15" hidden="false" customHeight="false" outlineLevel="0" collapsed="false">
      <c r="A130" s="7" t="s">
        <v>32</v>
      </c>
      <c r="B130" s="7" t="s">
        <v>67</v>
      </c>
      <c r="C130" s="7" t="s">
        <v>81</v>
      </c>
      <c r="D130" s="7" t="s">
        <v>132</v>
      </c>
      <c r="E130" s="16" t="str">
        <f aca="false">HYPERLINK("https://www.google.com/maps/search/"&amp;SUBSTITUTE(C130&amp;" "&amp;D130&amp;" "&amp;A130," ","+"),"Open Maps")</f>
        <v>Open Maps</v>
      </c>
      <c r="F130" s="15" t="s">
        <v>184</v>
      </c>
      <c r="G130" s="15"/>
    </row>
    <row r="131" customFormat="false" ht="15" hidden="false" customHeight="false" outlineLevel="0" collapsed="false">
      <c r="A131" s="7" t="s">
        <v>32</v>
      </c>
      <c r="B131" s="7" t="s">
        <v>67</v>
      </c>
      <c r="C131" s="7" t="s">
        <v>82</v>
      </c>
      <c r="D131" s="7" t="s">
        <v>129</v>
      </c>
      <c r="E131" s="16" t="str">
        <f aca="false">HYPERLINK("https://www.google.com/maps/search/"&amp;SUBSTITUTE(C131&amp;" "&amp;D131&amp;" "&amp;A131," ","+"),"Open Maps")</f>
        <v>Open Maps</v>
      </c>
      <c r="F131" s="15" t="s">
        <v>184</v>
      </c>
      <c r="G131" s="15"/>
    </row>
    <row r="132" customFormat="false" ht="15" hidden="false" customHeight="false" outlineLevel="0" collapsed="false">
      <c r="A132" s="7" t="s">
        <v>32</v>
      </c>
      <c r="B132" s="7" t="s">
        <v>67</v>
      </c>
      <c r="C132" s="7" t="s">
        <v>82</v>
      </c>
      <c r="D132" s="7" t="s">
        <v>130</v>
      </c>
      <c r="E132" s="16" t="str">
        <f aca="false">HYPERLINK("https://www.google.com/maps/search/"&amp;SUBSTITUTE(C132&amp;" "&amp;D132&amp;" "&amp;A132," ","+"),"Open Maps")</f>
        <v>Open Maps</v>
      </c>
      <c r="F132" s="15" t="s">
        <v>184</v>
      </c>
      <c r="G132" s="15"/>
    </row>
    <row r="133" customFormat="false" ht="15" hidden="false" customHeight="false" outlineLevel="0" collapsed="false">
      <c r="A133" s="7" t="s">
        <v>32</v>
      </c>
      <c r="B133" s="7" t="s">
        <v>67</v>
      </c>
      <c r="C133" s="7" t="s">
        <v>82</v>
      </c>
      <c r="D133" s="7" t="s">
        <v>131</v>
      </c>
      <c r="E133" s="16" t="str">
        <f aca="false">HYPERLINK("https://www.google.com/maps/search/"&amp;SUBSTITUTE(C133&amp;" "&amp;D133&amp;" "&amp;A133," ","+"),"Open Maps")</f>
        <v>Open Maps</v>
      </c>
      <c r="F133" s="15" t="s">
        <v>184</v>
      </c>
      <c r="G133" s="15"/>
    </row>
    <row r="134" customFormat="false" ht="15" hidden="false" customHeight="false" outlineLevel="0" collapsed="false">
      <c r="A134" s="7" t="s">
        <v>32</v>
      </c>
      <c r="B134" s="7" t="s">
        <v>67</v>
      </c>
      <c r="C134" s="7" t="s">
        <v>82</v>
      </c>
      <c r="D134" s="7" t="s">
        <v>132</v>
      </c>
      <c r="E134" s="16" t="str">
        <f aca="false">HYPERLINK("https://www.google.com/maps/search/"&amp;SUBSTITUTE(C134&amp;" "&amp;D134&amp;" "&amp;A134," ","+"),"Open Maps")</f>
        <v>Open Maps</v>
      </c>
      <c r="F134" s="15" t="s">
        <v>184</v>
      </c>
      <c r="G134" s="15"/>
    </row>
    <row r="135" customFormat="false" ht="15" hidden="false" customHeight="false" outlineLevel="0" collapsed="false">
      <c r="A135" s="7" t="s">
        <v>32</v>
      </c>
      <c r="B135" s="7" t="s">
        <v>67</v>
      </c>
      <c r="C135" s="7" t="s">
        <v>83</v>
      </c>
      <c r="D135" s="7" t="s">
        <v>129</v>
      </c>
      <c r="E135" s="16" t="str">
        <f aca="false">HYPERLINK("https://www.google.com/maps/search/"&amp;SUBSTITUTE(C135&amp;" "&amp;D135&amp;" "&amp;A135," ","+"),"Open Maps")</f>
        <v>Open Maps</v>
      </c>
      <c r="F135" s="15" t="s">
        <v>184</v>
      </c>
      <c r="G135" s="15"/>
    </row>
    <row r="136" customFormat="false" ht="15" hidden="false" customHeight="false" outlineLevel="0" collapsed="false">
      <c r="A136" s="7" t="s">
        <v>32</v>
      </c>
      <c r="B136" s="7" t="s">
        <v>67</v>
      </c>
      <c r="C136" s="7" t="s">
        <v>83</v>
      </c>
      <c r="D136" s="7" t="s">
        <v>130</v>
      </c>
      <c r="E136" s="16" t="str">
        <f aca="false">HYPERLINK("https://www.google.com/maps/search/"&amp;SUBSTITUTE(C136&amp;" "&amp;D136&amp;" "&amp;A136," ","+"),"Open Maps")</f>
        <v>Open Maps</v>
      </c>
      <c r="F136" s="15" t="s">
        <v>184</v>
      </c>
      <c r="G136" s="15"/>
    </row>
    <row r="137" customFormat="false" ht="15" hidden="false" customHeight="false" outlineLevel="0" collapsed="false">
      <c r="A137" s="7" t="s">
        <v>32</v>
      </c>
      <c r="B137" s="7" t="s">
        <v>67</v>
      </c>
      <c r="C137" s="7" t="s">
        <v>83</v>
      </c>
      <c r="D137" s="7" t="s">
        <v>131</v>
      </c>
      <c r="E137" s="16" t="str">
        <f aca="false">HYPERLINK("https://www.google.com/maps/search/"&amp;SUBSTITUTE(C137&amp;" "&amp;D137&amp;" "&amp;A137," ","+"),"Open Maps")</f>
        <v>Open Maps</v>
      </c>
      <c r="F137" s="15" t="s">
        <v>184</v>
      </c>
      <c r="G137" s="15"/>
    </row>
    <row r="138" customFormat="false" ht="15" hidden="false" customHeight="false" outlineLevel="0" collapsed="false">
      <c r="A138" s="7" t="s">
        <v>32</v>
      </c>
      <c r="B138" s="7" t="s">
        <v>67</v>
      </c>
      <c r="C138" s="7" t="s">
        <v>83</v>
      </c>
      <c r="D138" s="7" t="s">
        <v>132</v>
      </c>
      <c r="E138" s="16" t="str">
        <f aca="false">HYPERLINK("https://www.google.com/maps/search/"&amp;SUBSTITUTE(C138&amp;" "&amp;D138&amp;" "&amp;A138," ","+"),"Open Maps")</f>
        <v>Open Maps</v>
      </c>
      <c r="F138" s="15" t="s">
        <v>184</v>
      </c>
      <c r="G138" s="15"/>
    </row>
    <row r="139" customFormat="false" ht="15" hidden="false" customHeight="false" outlineLevel="0" collapsed="false">
      <c r="A139" s="7" t="s">
        <v>32</v>
      </c>
      <c r="B139" s="7" t="s">
        <v>67</v>
      </c>
      <c r="C139" s="7" t="s">
        <v>84</v>
      </c>
      <c r="D139" s="7" t="s">
        <v>129</v>
      </c>
      <c r="E139" s="16" t="str">
        <f aca="false">HYPERLINK("https://www.google.com/maps/search/"&amp;SUBSTITUTE(C139&amp;" "&amp;D139&amp;" "&amp;A139," ","+"),"Open Maps")</f>
        <v>Open Maps</v>
      </c>
      <c r="F139" s="15" t="s">
        <v>184</v>
      </c>
      <c r="G139" s="15"/>
    </row>
    <row r="140" customFormat="false" ht="15" hidden="false" customHeight="false" outlineLevel="0" collapsed="false">
      <c r="A140" s="7" t="s">
        <v>32</v>
      </c>
      <c r="B140" s="7" t="s">
        <v>67</v>
      </c>
      <c r="C140" s="7" t="s">
        <v>84</v>
      </c>
      <c r="D140" s="7" t="s">
        <v>130</v>
      </c>
      <c r="E140" s="16" t="str">
        <f aca="false">HYPERLINK("https://www.google.com/maps/search/"&amp;SUBSTITUTE(C140&amp;" "&amp;D140&amp;" "&amp;A140," ","+"),"Open Maps")</f>
        <v>Open Maps</v>
      </c>
      <c r="F140" s="15" t="s">
        <v>184</v>
      </c>
      <c r="G140" s="15"/>
    </row>
    <row r="141" customFormat="false" ht="15" hidden="false" customHeight="false" outlineLevel="0" collapsed="false">
      <c r="A141" s="7" t="s">
        <v>32</v>
      </c>
      <c r="B141" s="7" t="s">
        <v>67</v>
      </c>
      <c r="C141" s="7" t="s">
        <v>84</v>
      </c>
      <c r="D141" s="7" t="s">
        <v>131</v>
      </c>
      <c r="E141" s="16" t="str">
        <f aca="false">HYPERLINK("https://www.google.com/maps/search/"&amp;SUBSTITUTE(C141&amp;" "&amp;D141&amp;" "&amp;A141," ","+"),"Open Maps")</f>
        <v>Open Maps</v>
      </c>
      <c r="F141" s="15" t="s">
        <v>184</v>
      </c>
      <c r="G141" s="15"/>
    </row>
    <row r="142" customFormat="false" ht="15" hidden="false" customHeight="false" outlineLevel="0" collapsed="false">
      <c r="A142" s="7" t="s">
        <v>32</v>
      </c>
      <c r="B142" s="7" t="s">
        <v>67</v>
      </c>
      <c r="C142" s="7" t="s">
        <v>84</v>
      </c>
      <c r="D142" s="7" t="s">
        <v>132</v>
      </c>
      <c r="E142" s="16" t="str">
        <f aca="false">HYPERLINK("https://www.google.com/maps/search/"&amp;SUBSTITUTE(C142&amp;" "&amp;D142&amp;" "&amp;A142," ","+"),"Open Maps")</f>
        <v>Open Maps</v>
      </c>
      <c r="F142" s="15" t="s">
        <v>184</v>
      </c>
      <c r="G142" s="15"/>
    </row>
    <row r="143" customFormat="false" ht="15" hidden="false" customHeight="false" outlineLevel="0" collapsed="false">
      <c r="A143" s="7" t="s">
        <v>32</v>
      </c>
      <c r="B143" s="7" t="s">
        <v>67</v>
      </c>
      <c r="C143" s="7" t="s">
        <v>85</v>
      </c>
      <c r="D143" s="7" t="s">
        <v>129</v>
      </c>
      <c r="E143" s="16" t="str">
        <f aca="false">HYPERLINK("https://www.google.com/maps/search/"&amp;SUBSTITUTE(C143&amp;" "&amp;D143&amp;" "&amp;A143," ","+"),"Open Maps")</f>
        <v>Open Maps</v>
      </c>
      <c r="F143" s="15" t="s">
        <v>184</v>
      </c>
      <c r="G143" s="15"/>
    </row>
    <row r="144" customFormat="false" ht="15" hidden="false" customHeight="false" outlineLevel="0" collapsed="false">
      <c r="A144" s="7" t="s">
        <v>32</v>
      </c>
      <c r="B144" s="7" t="s">
        <v>67</v>
      </c>
      <c r="C144" s="7" t="s">
        <v>85</v>
      </c>
      <c r="D144" s="7" t="s">
        <v>130</v>
      </c>
      <c r="E144" s="16" t="str">
        <f aca="false">HYPERLINK("https://www.google.com/maps/search/"&amp;SUBSTITUTE(C144&amp;" "&amp;D144&amp;" "&amp;A144," ","+"),"Open Maps")</f>
        <v>Open Maps</v>
      </c>
      <c r="F144" s="15" t="s">
        <v>184</v>
      </c>
      <c r="G144" s="15"/>
    </row>
    <row r="145" customFormat="false" ht="15" hidden="false" customHeight="false" outlineLevel="0" collapsed="false">
      <c r="A145" s="7" t="s">
        <v>32</v>
      </c>
      <c r="B145" s="7" t="s">
        <v>67</v>
      </c>
      <c r="C145" s="7" t="s">
        <v>85</v>
      </c>
      <c r="D145" s="7" t="s">
        <v>131</v>
      </c>
      <c r="E145" s="16" t="str">
        <f aca="false">HYPERLINK("https://www.google.com/maps/search/"&amp;SUBSTITUTE(C145&amp;" "&amp;D145&amp;" "&amp;A145," ","+"),"Open Maps")</f>
        <v>Open Maps</v>
      </c>
      <c r="F145" s="15" t="s">
        <v>184</v>
      </c>
      <c r="G145" s="15"/>
    </row>
    <row r="146" customFormat="false" ht="15" hidden="false" customHeight="false" outlineLevel="0" collapsed="false">
      <c r="A146" s="7" t="s">
        <v>32</v>
      </c>
      <c r="B146" s="7" t="s">
        <v>67</v>
      </c>
      <c r="C146" s="7" t="s">
        <v>85</v>
      </c>
      <c r="D146" s="7" t="s">
        <v>132</v>
      </c>
      <c r="E146" s="16" t="str">
        <f aca="false">HYPERLINK("https://www.google.com/maps/search/"&amp;SUBSTITUTE(C146&amp;" "&amp;D146&amp;" "&amp;A146," ","+"),"Open Maps")</f>
        <v>Open Maps</v>
      </c>
      <c r="F146" s="15" t="s">
        <v>184</v>
      </c>
      <c r="G146" s="15"/>
    </row>
    <row r="147" customFormat="false" ht="15" hidden="false" customHeight="false" outlineLevel="0" collapsed="false">
      <c r="A147" s="7" t="s">
        <v>32</v>
      </c>
      <c r="B147" s="7" t="s">
        <v>67</v>
      </c>
      <c r="C147" s="7" t="s">
        <v>86</v>
      </c>
      <c r="D147" s="7" t="s">
        <v>129</v>
      </c>
      <c r="E147" s="16" t="str">
        <f aca="false">HYPERLINK("https://www.google.com/maps/search/"&amp;SUBSTITUTE(C147&amp;" "&amp;D147&amp;" "&amp;A147," ","+"),"Open Maps")</f>
        <v>Open Maps</v>
      </c>
      <c r="F147" s="15" t="s">
        <v>184</v>
      </c>
      <c r="G147" s="15"/>
    </row>
    <row r="148" customFormat="false" ht="15" hidden="false" customHeight="false" outlineLevel="0" collapsed="false">
      <c r="A148" s="7" t="s">
        <v>32</v>
      </c>
      <c r="B148" s="7" t="s">
        <v>67</v>
      </c>
      <c r="C148" s="7" t="s">
        <v>86</v>
      </c>
      <c r="D148" s="7" t="s">
        <v>130</v>
      </c>
      <c r="E148" s="16" t="str">
        <f aca="false">HYPERLINK("https://www.google.com/maps/search/"&amp;SUBSTITUTE(C148&amp;" "&amp;D148&amp;" "&amp;A148," ","+"),"Open Maps")</f>
        <v>Open Maps</v>
      </c>
      <c r="F148" s="15" t="s">
        <v>184</v>
      </c>
      <c r="G148" s="15"/>
    </row>
    <row r="149" customFormat="false" ht="15" hidden="false" customHeight="false" outlineLevel="0" collapsed="false">
      <c r="A149" s="7" t="s">
        <v>32</v>
      </c>
      <c r="B149" s="7" t="s">
        <v>67</v>
      </c>
      <c r="C149" s="7" t="s">
        <v>86</v>
      </c>
      <c r="D149" s="7" t="s">
        <v>131</v>
      </c>
      <c r="E149" s="16" t="str">
        <f aca="false">HYPERLINK("https://www.google.com/maps/search/"&amp;SUBSTITUTE(C149&amp;" "&amp;D149&amp;" "&amp;A149," ","+"),"Open Maps")</f>
        <v>Open Maps</v>
      </c>
      <c r="F149" s="15" t="s">
        <v>184</v>
      </c>
      <c r="G149" s="15"/>
    </row>
    <row r="150" customFormat="false" ht="15" hidden="false" customHeight="false" outlineLevel="0" collapsed="false">
      <c r="A150" s="7" t="s">
        <v>32</v>
      </c>
      <c r="B150" s="7" t="s">
        <v>67</v>
      </c>
      <c r="C150" s="7" t="s">
        <v>86</v>
      </c>
      <c r="D150" s="7" t="s">
        <v>132</v>
      </c>
      <c r="E150" s="16" t="str">
        <f aca="false">HYPERLINK("https://www.google.com/maps/search/"&amp;SUBSTITUTE(C150&amp;" "&amp;D150&amp;" "&amp;A150," ","+"),"Open Maps")</f>
        <v>Open Maps</v>
      </c>
      <c r="F150" s="15" t="s">
        <v>184</v>
      </c>
      <c r="G150" s="15"/>
    </row>
    <row r="151" customFormat="false" ht="15" hidden="false" customHeight="false" outlineLevel="0" collapsed="false">
      <c r="A151" s="7" t="s">
        <v>32</v>
      </c>
      <c r="B151" s="7" t="s">
        <v>76</v>
      </c>
      <c r="C151" s="7" t="s">
        <v>77</v>
      </c>
      <c r="D151" s="7" t="s">
        <v>129</v>
      </c>
      <c r="E151" s="16" t="str">
        <f aca="false">HYPERLINK("https://www.google.com/maps/search/"&amp;SUBSTITUTE(C151&amp;" "&amp;D151&amp;" "&amp;A151," ","+"),"Open Maps")</f>
        <v>Open Maps</v>
      </c>
      <c r="F151" s="15" t="s">
        <v>184</v>
      </c>
      <c r="G151" s="15"/>
    </row>
    <row r="152" customFormat="false" ht="15" hidden="false" customHeight="false" outlineLevel="0" collapsed="false">
      <c r="A152" s="7" t="s">
        <v>32</v>
      </c>
      <c r="B152" s="7" t="s">
        <v>76</v>
      </c>
      <c r="C152" s="7" t="s">
        <v>77</v>
      </c>
      <c r="D152" s="7" t="s">
        <v>130</v>
      </c>
      <c r="E152" s="16" t="str">
        <f aca="false">HYPERLINK("https://www.google.com/maps/search/"&amp;SUBSTITUTE(C152&amp;" "&amp;D152&amp;" "&amp;A152," ","+"),"Open Maps")</f>
        <v>Open Maps</v>
      </c>
      <c r="F152" s="15" t="s">
        <v>184</v>
      </c>
      <c r="G152" s="15"/>
    </row>
    <row r="153" customFormat="false" ht="15" hidden="false" customHeight="false" outlineLevel="0" collapsed="false">
      <c r="A153" s="7" t="s">
        <v>32</v>
      </c>
      <c r="B153" s="7" t="s">
        <v>76</v>
      </c>
      <c r="C153" s="7" t="s">
        <v>77</v>
      </c>
      <c r="D153" s="7" t="s">
        <v>131</v>
      </c>
      <c r="E153" s="16" t="str">
        <f aca="false">HYPERLINK("https://www.google.com/maps/search/"&amp;SUBSTITUTE(C153&amp;" "&amp;D153&amp;" "&amp;A153," ","+"),"Open Maps")</f>
        <v>Open Maps</v>
      </c>
      <c r="F153" s="15" t="s">
        <v>184</v>
      </c>
      <c r="G153" s="15"/>
    </row>
    <row r="154" customFormat="false" ht="15" hidden="false" customHeight="false" outlineLevel="0" collapsed="false">
      <c r="A154" s="7" t="s">
        <v>32</v>
      </c>
      <c r="B154" s="7" t="s">
        <v>76</v>
      </c>
      <c r="C154" s="7" t="s">
        <v>77</v>
      </c>
      <c r="D154" s="7" t="s">
        <v>132</v>
      </c>
      <c r="E154" s="16" t="str">
        <f aca="false">HYPERLINK("https://www.google.com/maps/search/"&amp;SUBSTITUTE(C154&amp;" "&amp;D154&amp;" "&amp;A154," ","+"),"Open Maps")</f>
        <v>Open Maps</v>
      </c>
      <c r="F154" s="15" t="s">
        <v>184</v>
      </c>
      <c r="G154" s="15"/>
    </row>
    <row r="155" customFormat="false" ht="15" hidden="false" customHeight="false" outlineLevel="0" collapsed="false">
      <c r="A155" s="7" t="s">
        <v>34</v>
      </c>
      <c r="B155" s="7" t="s">
        <v>64</v>
      </c>
      <c r="C155" s="7" t="s">
        <v>91</v>
      </c>
      <c r="D155" s="7" t="s">
        <v>133</v>
      </c>
      <c r="E155" s="16" t="str">
        <f aca="false">HYPERLINK("https://www.google.com/maps/search/"&amp;SUBSTITUTE(C155&amp;" "&amp;D155&amp;" "&amp;A155," ","+"),"Open Maps")</f>
        <v>Open Maps</v>
      </c>
      <c r="F155" s="15" t="s">
        <v>184</v>
      </c>
      <c r="G155" s="15"/>
    </row>
    <row r="156" customFormat="false" ht="15" hidden="false" customHeight="false" outlineLevel="0" collapsed="false">
      <c r="A156" s="7" t="s">
        <v>34</v>
      </c>
      <c r="B156" s="7" t="s">
        <v>64</v>
      </c>
      <c r="C156" s="7" t="s">
        <v>91</v>
      </c>
      <c r="D156" s="7" t="s">
        <v>135</v>
      </c>
      <c r="E156" s="16" t="str">
        <f aca="false">HYPERLINK("https://www.google.com/maps/search/"&amp;SUBSTITUTE(C156&amp;" "&amp;D156&amp;" "&amp;A156," ","+"),"Open Maps")</f>
        <v>Open Maps</v>
      </c>
      <c r="F156" s="15" t="s">
        <v>184</v>
      </c>
      <c r="G156" s="15"/>
    </row>
    <row r="157" customFormat="false" ht="15" hidden="false" customHeight="false" outlineLevel="0" collapsed="false">
      <c r="A157" s="7" t="s">
        <v>34</v>
      </c>
      <c r="B157" s="7" t="s">
        <v>64</v>
      </c>
      <c r="C157" s="7" t="s">
        <v>91</v>
      </c>
      <c r="D157" s="7" t="s">
        <v>136</v>
      </c>
      <c r="E157" s="16" t="str">
        <f aca="false">HYPERLINK("https://www.google.com/maps/search/"&amp;SUBSTITUTE(C157&amp;" "&amp;D157&amp;" "&amp;A157," ","+"),"Open Maps")</f>
        <v>Open Maps</v>
      </c>
      <c r="F157" s="15" t="s">
        <v>184</v>
      </c>
      <c r="G157" s="15"/>
    </row>
    <row r="158" customFormat="false" ht="15" hidden="false" customHeight="false" outlineLevel="0" collapsed="false">
      <c r="A158" s="7" t="s">
        <v>34</v>
      </c>
      <c r="B158" s="7" t="s">
        <v>64</v>
      </c>
      <c r="C158" s="7" t="s">
        <v>91</v>
      </c>
      <c r="D158" s="7" t="s">
        <v>137</v>
      </c>
      <c r="E158" s="16" t="str">
        <f aca="false">HYPERLINK("https://www.google.com/maps/search/"&amp;SUBSTITUTE(C158&amp;" "&amp;D158&amp;" "&amp;A158," ","+"),"Open Maps")</f>
        <v>Open Maps</v>
      </c>
      <c r="F158" s="15" t="s">
        <v>184</v>
      </c>
      <c r="G158" s="15"/>
    </row>
    <row r="159" customFormat="false" ht="15" hidden="false" customHeight="false" outlineLevel="0" collapsed="false">
      <c r="A159" s="7" t="s">
        <v>34</v>
      </c>
      <c r="B159" s="7" t="s">
        <v>67</v>
      </c>
      <c r="C159" s="7" t="s">
        <v>95</v>
      </c>
      <c r="D159" s="7" t="s">
        <v>133</v>
      </c>
      <c r="E159" s="16" t="str">
        <f aca="false">HYPERLINK("https://www.google.com/maps/search/"&amp;SUBSTITUTE(C159&amp;" "&amp;D159&amp;" "&amp;A159," ","+"),"Open Maps")</f>
        <v>Open Maps</v>
      </c>
      <c r="F159" s="15" t="s">
        <v>184</v>
      </c>
      <c r="G159" s="15"/>
    </row>
    <row r="160" customFormat="false" ht="15" hidden="false" customHeight="false" outlineLevel="0" collapsed="false">
      <c r="A160" s="7" t="s">
        <v>34</v>
      </c>
      <c r="B160" s="7" t="s">
        <v>67</v>
      </c>
      <c r="C160" s="7" t="s">
        <v>95</v>
      </c>
      <c r="D160" s="7" t="s">
        <v>135</v>
      </c>
      <c r="E160" s="16" t="str">
        <f aca="false">HYPERLINK("https://www.google.com/maps/search/"&amp;SUBSTITUTE(C160&amp;" "&amp;D160&amp;" "&amp;A160," ","+"),"Open Maps")</f>
        <v>Open Maps</v>
      </c>
      <c r="F160" s="15" t="s">
        <v>184</v>
      </c>
      <c r="G160" s="15"/>
    </row>
    <row r="161" customFormat="false" ht="15" hidden="false" customHeight="false" outlineLevel="0" collapsed="false">
      <c r="A161" s="7" t="s">
        <v>34</v>
      </c>
      <c r="B161" s="7" t="s">
        <v>67</v>
      </c>
      <c r="C161" s="7" t="s">
        <v>95</v>
      </c>
      <c r="D161" s="7" t="s">
        <v>136</v>
      </c>
      <c r="E161" s="16" t="str">
        <f aca="false">HYPERLINK("https://www.google.com/maps/search/"&amp;SUBSTITUTE(C161&amp;" "&amp;D161&amp;" "&amp;A161," ","+"),"Open Maps")</f>
        <v>Open Maps</v>
      </c>
      <c r="F161" s="15" t="s">
        <v>184</v>
      </c>
      <c r="G161" s="15"/>
    </row>
    <row r="162" customFormat="false" ht="15" hidden="false" customHeight="false" outlineLevel="0" collapsed="false">
      <c r="A162" s="7" t="s">
        <v>34</v>
      </c>
      <c r="B162" s="7" t="s">
        <v>67</v>
      </c>
      <c r="C162" s="7" t="s">
        <v>95</v>
      </c>
      <c r="D162" s="7" t="s">
        <v>137</v>
      </c>
      <c r="E162" s="16" t="str">
        <f aca="false">HYPERLINK("https://www.google.com/maps/search/"&amp;SUBSTITUTE(C162&amp;" "&amp;D162&amp;" "&amp;A162," ","+"),"Open Maps")</f>
        <v>Open Maps</v>
      </c>
      <c r="F162" s="15" t="s">
        <v>184</v>
      </c>
      <c r="G162" s="15"/>
    </row>
    <row r="163" customFormat="false" ht="15" hidden="false" customHeight="false" outlineLevel="0" collapsed="false">
      <c r="A163" s="7" t="s">
        <v>34</v>
      </c>
      <c r="B163" s="7" t="s">
        <v>67</v>
      </c>
      <c r="C163" s="7" t="s">
        <v>96</v>
      </c>
      <c r="D163" s="7" t="s">
        <v>133</v>
      </c>
      <c r="E163" s="16" t="str">
        <f aca="false">HYPERLINK("https://www.google.com/maps/search/"&amp;SUBSTITUTE(C163&amp;" "&amp;D163&amp;" "&amp;A163," ","+"),"Open Maps")</f>
        <v>Open Maps</v>
      </c>
      <c r="F163" s="15" t="s">
        <v>184</v>
      </c>
      <c r="G163" s="15"/>
    </row>
    <row r="164" customFormat="false" ht="15" hidden="false" customHeight="false" outlineLevel="0" collapsed="false">
      <c r="A164" s="7" t="s">
        <v>34</v>
      </c>
      <c r="B164" s="7" t="s">
        <v>67</v>
      </c>
      <c r="C164" s="7" t="s">
        <v>96</v>
      </c>
      <c r="D164" s="7" t="s">
        <v>135</v>
      </c>
      <c r="E164" s="16" t="str">
        <f aca="false">HYPERLINK("https://www.google.com/maps/search/"&amp;SUBSTITUTE(C164&amp;" "&amp;D164&amp;" "&amp;A164," ","+"),"Open Maps")</f>
        <v>Open Maps</v>
      </c>
      <c r="F164" s="15" t="s">
        <v>184</v>
      </c>
      <c r="G164" s="15"/>
    </row>
    <row r="165" customFormat="false" ht="15" hidden="false" customHeight="false" outlineLevel="0" collapsed="false">
      <c r="A165" s="7" t="s">
        <v>34</v>
      </c>
      <c r="B165" s="7" t="s">
        <v>67</v>
      </c>
      <c r="C165" s="7" t="s">
        <v>96</v>
      </c>
      <c r="D165" s="7" t="s">
        <v>136</v>
      </c>
      <c r="E165" s="16" t="str">
        <f aca="false">HYPERLINK("https://www.google.com/maps/search/"&amp;SUBSTITUTE(C165&amp;" "&amp;D165&amp;" "&amp;A165," ","+"),"Open Maps")</f>
        <v>Open Maps</v>
      </c>
      <c r="F165" s="15" t="s">
        <v>184</v>
      </c>
      <c r="G165" s="15"/>
    </row>
    <row r="166" customFormat="false" ht="15" hidden="false" customHeight="false" outlineLevel="0" collapsed="false">
      <c r="A166" s="7" t="s">
        <v>34</v>
      </c>
      <c r="B166" s="7" t="s">
        <v>67</v>
      </c>
      <c r="C166" s="7" t="s">
        <v>96</v>
      </c>
      <c r="D166" s="7" t="s">
        <v>137</v>
      </c>
      <c r="E166" s="16" t="str">
        <f aca="false">HYPERLINK("https://www.google.com/maps/search/"&amp;SUBSTITUTE(C166&amp;" "&amp;D166&amp;" "&amp;A166," ","+"),"Open Maps")</f>
        <v>Open Maps</v>
      </c>
      <c r="F166" s="15" t="s">
        <v>184</v>
      </c>
      <c r="G166" s="15"/>
    </row>
    <row r="167" customFormat="false" ht="15" hidden="false" customHeight="false" outlineLevel="0" collapsed="false">
      <c r="A167" s="7" t="s">
        <v>34</v>
      </c>
      <c r="B167" s="7" t="s">
        <v>67</v>
      </c>
      <c r="C167" s="7" t="s">
        <v>97</v>
      </c>
      <c r="D167" s="7" t="s">
        <v>133</v>
      </c>
      <c r="E167" s="16" t="str">
        <f aca="false">HYPERLINK("https://www.google.com/maps/search/"&amp;SUBSTITUTE(C167&amp;" "&amp;D167&amp;" "&amp;A167," ","+"),"Open Maps")</f>
        <v>Open Maps</v>
      </c>
      <c r="F167" s="15" t="s">
        <v>184</v>
      </c>
      <c r="G167" s="15"/>
    </row>
    <row r="168" customFormat="false" ht="15" hidden="false" customHeight="false" outlineLevel="0" collapsed="false">
      <c r="A168" s="7" t="s">
        <v>34</v>
      </c>
      <c r="B168" s="7" t="s">
        <v>67</v>
      </c>
      <c r="C168" s="7" t="s">
        <v>97</v>
      </c>
      <c r="D168" s="7" t="s">
        <v>135</v>
      </c>
      <c r="E168" s="16" t="str">
        <f aca="false">HYPERLINK("https://www.google.com/maps/search/"&amp;SUBSTITUTE(C168&amp;" "&amp;D168&amp;" "&amp;A168," ","+"),"Open Maps")</f>
        <v>Open Maps</v>
      </c>
      <c r="F168" s="15" t="s">
        <v>184</v>
      </c>
      <c r="G168" s="15"/>
    </row>
    <row r="169" customFormat="false" ht="15" hidden="false" customHeight="false" outlineLevel="0" collapsed="false">
      <c r="A169" s="7" t="s">
        <v>34</v>
      </c>
      <c r="B169" s="7" t="s">
        <v>67</v>
      </c>
      <c r="C169" s="7" t="s">
        <v>97</v>
      </c>
      <c r="D169" s="7" t="s">
        <v>136</v>
      </c>
      <c r="E169" s="16" t="str">
        <f aca="false">HYPERLINK("https://www.google.com/maps/search/"&amp;SUBSTITUTE(C169&amp;" "&amp;D169&amp;" "&amp;A169," ","+"),"Open Maps")</f>
        <v>Open Maps</v>
      </c>
      <c r="F169" s="15" t="s">
        <v>184</v>
      </c>
      <c r="G169" s="15"/>
    </row>
    <row r="170" customFormat="false" ht="15" hidden="false" customHeight="false" outlineLevel="0" collapsed="false">
      <c r="A170" s="7" t="s">
        <v>34</v>
      </c>
      <c r="B170" s="7" t="s">
        <v>67</v>
      </c>
      <c r="C170" s="7" t="s">
        <v>97</v>
      </c>
      <c r="D170" s="7" t="s">
        <v>137</v>
      </c>
      <c r="E170" s="16" t="str">
        <f aca="false">HYPERLINK("https://www.google.com/maps/search/"&amp;SUBSTITUTE(C170&amp;" "&amp;D170&amp;" "&amp;A170," ","+"),"Open Maps")</f>
        <v>Open Maps</v>
      </c>
      <c r="F170" s="15" t="s">
        <v>184</v>
      </c>
      <c r="G170" s="15"/>
    </row>
    <row r="171" customFormat="false" ht="15" hidden="false" customHeight="false" outlineLevel="0" collapsed="false">
      <c r="A171" s="7" t="s">
        <v>34</v>
      </c>
      <c r="B171" s="7" t="s">
        <v>67</v>
      </c>
      <c r="C171" s="7" t="s">
        <v>99</v>
      </c>
      <c r="D171" s="7" t="s">
        <v>133</v>
      </c>
      <c r="E171" s="16" t="str">
        <f aca="false">HYPERLINK("https://www.google.com/maps/search/"&amp;SUBSTITUTE(C171&amp;" "&amp;D171&amp;" "&amp;A171," ","+"),"Open Maps")</f>
        <v>Open Maps</v>
      </c>
      <c r="F171" s="15" t="s">
        <v>184</v>
      </c>
      <c r="G171" s="15"/>
    </row>
    <row r="172" customFormat="false" ht="15" hidden="false" customHeight="false" outlineLevel="0" collapsed="false">
      <c r="A172" s="7" t="s">
        <v>34</v>
      </c>
      <c r="B172" s="7" t="s">
        <v>67</v>
      </c>
      <c r="C172" s="7" t="s">
        <v>99</v>
      </c>
      <c r="D172" s="7" t="s">
        <v>135</v>
      </c>
      <c r="E172" s="16" t="str">
        <f aca="false">HYPERLINK("https://www.google.com/maps/search/"&amp;SUBSTITUTE(C172&amp;" "&amp;D172&amp;" "&amp;A172," ","+"),"Open Maps")</f>
        <v>Open Maps</v>
      </c>
      <c r="F172" s="15" t="s">
        <v>184</v>
      </c>
      <c r="G172" s="15"/>
    </row>
    <row r="173" customFormat="false" ht="15" hidden="false" customHeight="false" outlineLevel="0" collapsed="false">
      <c r="A173" s="7" t="s">
        <v>34</v>
      </c>
      <c r="B173" s="7" t="s">
        <v>67</v>
      </c>
      <c r="C173" s="7" t="s">
        <v>99</v>
      </c>
      <c r="D173" s="7" t="s">
        <v>136</v>
      </c>
      <c r="E173" s="16" t="str">
        <f aca="false">HYPERLINK("https://www.google.com/maps/search/"&amp;SUBSTITUTE(C173&amp;" "&amp;D173&amp;" "&amp;A173," ","+"),"Open Maps")</f>
        <v>Open Maps</v>
      </c>
      <c r="F173" s="15" t="s">
        <v>184</v>
      </c>
      <c r="G173" s="15"/>
    </row>
    <row r="174" customFormat="false" ht="15" hidden="false" customHeight="false" outlineLevel="0" collapsed="false">
      <c r="A174" s="7" t="s">
        <v>34</v>
      </c>
      <c r="B174" s="7" t="s">
        <v>67</v>
      </c>
      <c r="C174" s="7" t="s">
        <v>99</v>
      </c>
      <c r="D174" s="7" t="s">
        <v>137</v>
      </c>
      <c r="E174" s="16" t="str">
        <f aca="false">HYPERLINK("https://www.google.com/maps/search/"&amp;SUBSTITUTE(C174&amp;" "&amp;D174&amp;" "&amp;A174," ","+"),"Open Maps")</f>
        <v>Open Maps</v>
      </c>
      <c r="F174" s="15" t="s">
        <v>184</v>
      </c>
      <c r="G174" s="15"/>
    </row>
    <row r="175" customFormat="false" ht="15" hidden="false" customHeight="false" outlineLevel="0" collapsed="false">
      <c r="A175" s="7" t="s">
        <v>34</v>
      </c>
      <c r="B175" s="7" t="s">
        <v>67</v>
      </c>
      <c r="C175" s="7" t="s">
        <v>100</v>
      </c>
      <c r="D175" s="7" t="s">
        <v>133</v>
      </c>
      <c r="E175" s="16" t="str">
        <f aca="false">HYPERLINK("https://www.google.com/maps/search/"&amp;SUBSTITUTE(C175&amp;" "&amp;D175&amp;" "&amp;A175," ","+"),"Open Maps")</f>
        <v>Open Maps</v>
      </c>
      <c r="F175" s="15" t="s">
        <v>184</v>
      </c>
      <c r="G175" s="15"/>
    </row>
    <row r="176" customFormat="false" ht="15" hidden="false" customHeight="false" outlineLevel="0" collapsed="false">
      <c r="A176" s="7" t="s">
        <v>34</v>
      </c>
      <c r="B176" s="7" t="s">
        <v>67</v>
      </c>
      <c r="C176" s="7" t="s">
        <v>100</v>
      </c>
      <c r="D176" s="7" t="s">
        <v>135</v>
      </c>
      <c r="E176" s="16" t="str">
        <f aca="false">HYPERLINK("https://www.google.com/maps/search/"&amp;SUBSTITUTE(C176&amp;" "&amp;D176&amp;" "&amp;A176," ","+"),"Open Maps")</f>
        <v>Open Maps</v>
      </c>
      <c r="F176" s="15" t="s">
        <v>184</v>
      </c>
      <c r="G176" s="15"/>
    </row>
    <row r="177" customFormat="false" ht="15" hidden="false" customHeight="false" outlineLevel="0" collapsed="false">
      <c r="A177" s="7" t="s">
        <v>34</v>
      </c>
      <c r="B177" s="7" t="s">
        <v>67</v>
      </c>
      <c r="C177" s="7" t="s">
        <v>100</v>
      </c>
      <c r="D177" s="7" t="s">
        <v>136</v>
      </c>
      <c r="E177" s="16" t="str">
        <f aca="false">HYPERLINK("https://www.google.com/maps/search/"&amp;SUBSTITUTE(C177&amp;" "&amp;D177&amp;" "&amp;A177," ","+"),"Open Maps")</f>
        <v>Open Maps</v>
      </c>
      <c r="F177" s="15" t="s">
        <v>184</v>
      </c>
      <c r="G177" s="15"/>
    </row>
    <row r="178" customFormat="false" ht="15" hidden="false" customHeight="false" outlineLevel="0" collapsed="false">
      <c r="A178" s="7" t="s">
        <v>34</v>
      </c>
      <c r="B178" s="7" t="s">
        <v>67</v>
      </c>
      <c r="C178" s="7" t="s">
        <v>100</v>
      </c>
      <c r="D178" s="7" t="s">
        <v>137</v>
      </c>
      <c r="E178" s="16" t="str">
        <f aca="false">HYPERLINK("https://www.google.com/maps/search/"&amp;SUBSTITUTE(C178&amp;" "&amp;D178&amp;" "&amp;A178," ","+"),"Open Maps")</f>
        <v>Open Maps</v>
      </c>
      <c r="F178" s="15" t="s">
        <v>184</v>
      </c>
      <c r="G178" s="15"/>
    </row>
    <row r="179" customFormat="false" ht="15" hidden="false" customHeight="false" outlineLevel="0" collapsed="false">
      <c r="A179" s="7" t="s">
        <v>34</v>
      </c>
      <c r="B179" s="7" t="s">
        <v>67</v>
      </c>
      <c r="C179" s="7" t="s">
        <v>101</v>
      </c>
      <c r="D179" s="7" t="s">
        <v>133</v>
      </c>
      <c r="E179" s="16" t="str">
        <f aca="false">HYPERLINK("https://www.google.com/maps/search/"&amp;SUBSTITUTE(C179&amp;" "&amp;D179&amp;" "&amp;A179," ","+"),"Open Maps")</f>
        <v>Open Maps</v>
      </c>
      <c r="F179" s="15" t="s">
        <v>184</v>
      </c>
      <c r="G179" s="15"/>
    </row>
    <row r="180" customFormat="false" ht="15" hidden="false" customHeight="false" outlineLevel="0" collapsed="false">
      <c r="A180" s="7" t="s">
        <v>34</v>
      </c>
      <c r="B180" s="7" t="s">
        <v>67</v>
      </c>
      <c r="C180" s="7" t="s">
        <v>101</v>
      </c>
      <c r="D180" s="7" t="s">
        <v>135</v>
      </c>
      <c r="E180" s="16" t="str">
        <f aca="false">HYPERLINK("https://www.google.com/maps/search/"&amp;SUBSTITUTE(C180&amp;" "&amp;D180&amp;" "&amp;A180," ","+"),"Open Maps")</f>
        <v>Open Maps</v>
      </c>
      <c r="F180" s="15" t="s">
        <v>184</v>
      </c>
      <c r="G180" s="15"/>
    </row>
    <row r="181" customFormat="false" ht="15" hidden="false" customHeight="false" outlineLevel="0" collapsed="false">
      <c r="A181" s="7" t="s">
        <v>34</v>
      </c>
      <c r="B181" s="7" t="s">
        <v>67</v>
      </c>
      <c r="C181" s="7" t="s">
        <v>101</v>
      </c>
      <c r="D181" s="7" t="s">
        <v>136</v>
      </c>
      <c r="E181" s="16" t="str">
        <f aca="false">HYPERLINK("https://www.google.com/maps/search/"&amp;SUBSTITUTE(C181&amp;" "&amp;D181&amp;" "&amp;A181," ","+"),"Open Maps")</f>
        <v>Open Maps</v>
      </c>
      <c r="F181" s="15" t="s">
        <v>184</v>
      </c>
      <c r="G181" s="15"/>
    </row>
    <row r="182" customFormat="false" ht="15" hidden="false" customHeight="false" outlineLevel="0" collapsed="false">
      <c r="A182" s="7" t="s">
        <v>34</v>
      </c>
      <c r="B182" s="7" t="s">
        <v>67</v>
      </c>
      <c r="C182" s="7" t="s">
        <v>101</v>
      </c>
      <c r="D182" s="7" t="s">
        <v>137</v>
      </c>
      <c r="E182" s="16" t="str">
        <f aca="false">HYPERLINK("https://www.google.com/maps/search/"&amp;SUBSTITUTE(C182&amp;" "&amp;D182&amp;" "&amp;A182," ","+"),"Open Maps")</f>
        <v>Open Maps</v>
      </c>
      <c r="F182" s="15" t="s">
        <v>184</v>
      </c>
      <c r="G182" s="15"/>
    </row>
    <row r="183" customFormat="false" ht="15" hidden="false" customHeight="false" outlineLevel="0" collapsed="false">
      <c r="A183" s="7" t="s">
        <v>34</v>
      </c>
      <c r="B183" s="7" t="s">
        <v>67</v>
      </c>
      <c r="C183" s="7" t="s">
        <v>102</v>
      </c>
      <c r="D183" s="7" t="s">
        <v>133</v>
      </c>
      <c r="E183" s="16" t="str">
        <f aca="false">HYPERLINK("https://www.google.com/maps/search/"&amp;SUBSTITUTE(C183&amp;" "&amp;D183&amp;" "&amp;A183," ","+"),"Open Maps")</f>
        <v>Open Maps</v>
      </c>
      <c r="F183" s="15" t="s">
        <v>184</v>
      </c>
      <c r="G183" s="15"/>
    </row>
    <row r="184" customFormat="false" ht="15" hidden="false" customHeight="false" outlineLevel="0" collapsed="false">
      <c r="A184" s="7" t="s">
        <v>34</v>
      </c>
      <c r="B184" s="7" t="s">
        <v>67</v>
      </c>
      <c r="C184" s="7" t="s">
        <v>102</v>
      </c>
      <c r="D184" s="7" t="s">
        <v>135</v>
      </c>
      <c r="E184" s="16" t="str">
        <f aca="false">HYPERLINK("https://www.google.com/maps/search/"&amp;SUBSTITUTE(C184&amp;" "&amp;D184&amp;" "&amp;A184," ","+"),"Open Maps")</f>
        <v>Open Maps</v>
      </c>
      <c r="F184" s="15" t="s">
        <v>184</v>
      </c>
      <c r="G184" s="15"/>
    </row>
    <row r="185" customFormat="false" ht="15" hidden="false" customHeight="false" outlineLevel="0" collapsed="false">
      <c r="A185" s="7" t="s">
        <v>34</v>
      </c>
      <c r="B185" s="7" t="s">
        <v>67</v>
      </c>
      <c r="C185" s="7" t="s">
        <v>102</v>
      </c>
      <c r="D185" s="7" t="s">
        <v>136</v>
      </c>
      <c r="E185" s="16" t="str">
        <f aca="false">HYPERLINK("https://www.google.com/maps/search/"&amp;SUBSTITUTE(C185&amp;" "&amp;D185&amp;" "&amp;A185," ","+"),"Open Maps")</f>
        <v>Open Maps</v>
      </c>
      <c r="F185" s="15" t="s">
        <v>184</v>
      </c>
      <c r="G185" s="15"/>
    </row>
    <row r="186" customFormat="false" ht="15" hidden="false" customHeight="false" outlineLevel="0" collapsed="false">
      <c r="A186" s="7" t="s">
        <v>34</v>
      </c>
      <c r="B186" s="7" t="s">
        <v>67</v>
      </c>
      <c r="C186" s="7" t="s">
        <v>102</v>
      </c>
      <c r="D186" s="7" t="s">
        <v>137</v>
      </c>
      <c r="E186" s="16" t="str">
        <f aca="false">HYPERLINK("https://www.google.com/maps/search/"&amp;SUBSTITUTE(C186&amp;" "&amp;D186&amp;" "&amp;A186," ","+"),"Open Maps")</f>
        <v>Open Maps</v>
      </c>
      <c r="F186" s="15" t="s">
        <v>184</v>
      </c>
      <c r="G186" s="15"/>
    </row>
    <row r="187" customFormat="false" ht="15" hidden="false" customHeight="false" outlineLevel="0" collapsed="false">
      <c r="A187" s="7" t="s">
        <v>34</v>
      </c>
      <c r="B187" s="7" t="s">
        <v>76</v>
      </c>
      <c r="C187" s="7" t="s">
        <v>77</v>
      </c>
      <c r="D187" s="7" t="s">
        <v>133</v>
      </c>
      <c r="E187" s="16" t="str">
        <f aca="false">HYPERLINK("https://www.google.com/maps/search/"&amp;SUBSTITUTE(C187&amp;" "&amp;D187&amp;" "&amp;A187," ","+"),"Open Maps")</f>
        <v>Open Maps</v>
      </c>
      <c r="F187" s="15" t="s">
        <v>184</v>
      </c>
      <c r="G187" s="15"/>
    </row>
    <row r="188" customFormat="false" ht="15" hidden="false" customHeight="false" outlineLevel="0" collapsed="false">
      <c r="A188" s="7" t="s">
        <v>34</v>
      </c>
      <c r="B188" s="7" t="s">
        <v>76</v>
      </c>
      <c r="C188" s="7" t="s">
        <v>77</v>
      </c>
      <c r="D188" s="7" t="s">
        <v>135</v>
      </c>
      <c r="E188" s="16" t="str">
        <f aca="false">HYPERLINK("https://www.google.com/maps/search/"&amp;SUBSTITUTE(C188&amp;" "&amp;D188&amp;" "&amp;A188," ","+"),"Open Maps")</f>
        <v>Open Maps</v>
      </c>
      <c r="F188" s="15" t="s">
        <v>184</v>
      </c>
      <c r="G188" s="15"/>
    </row>
    <row r="189" customFormat="false" ht="15" hidden="false" customHeight="false" outlineLevel="0" collapsed="false">
      <c r="A189" s="7" t="s">
        <v>34</v>
      </c>
      <c r="B189" s="7" t="s">
        <v>76</v>
      </c>
      <c r="C189" s="7" t="s">
        <v>77</v>
      </c>
      <c r="D189" s="7" t="s">
        <v>136</v>
      </c>
      <c r="E189" s="16" t="str">
        <f aca="false">HYPERLINK("https://www.google.com/maps/search/"&amp;SUBSTITUTE(C189&amp;" "&amp;D189&amp;" "&amp;A189," ","+"),"Open Maps")</f>
        <v>Open Maps</v>
      </c>
      <c r="F189" s="15" t="s">
        <v>184</v>
      </c>
      <c r="G189" s="15"/>
    </row>
    <row r="190" customFormat="false" ht="15" hidden="false" customHeight="false" outlineLevel="0" collapsed="false">
      <c r="A190" s="7" t="s">
        <v>34</v>
      </c>
      <c r="B190" s="7" t="s">
        <v>76</v>
      </c>
      <c r="C190" s="7" t="s">
        <v>77</v>
      </c>
      <c r="D190" s="7" t="s">
        <v>137</v>
      </c>
      <c r="E190" s="16" t="str">
        <f aca="false">HYPERLINK("https://www.google.com/maps/search/"&amp;SUBSTITUTE(C190&amp;" "&amp;D190&amp;" "&amp;A190," ","+"),"Open Maps")</f>
        <v>Open Maps</v>
      </c>
      <c r="F190" s="15" t="s">
        <v>184</v>
      </c>
      <c r="G190" s="15"/>
    </row>
    <row r="191" customFormat="false" ht="15" hidden="false" customHeight="false" outlineLevel="0" collapsed="false">
      <c r="A191" s="7" t="s">
        <v>36</v>
      </c>
      <c r="B191" s="7" t="s">
        <v>64</v>
      </c>
      <c r="C191" s="7" t="s">
        <v>65</v>
      </c>
      <c r="D191" s="7" t="s">
        <v>138</v>
      </c>
      <c r="E191" s="16" t="str">
        <f aca="false">HYPERLINK("https://www.google.com/maps/search/"&amp;SUBSTITUTE(C191&amp;" "&amp;D191&amp;" "&amp;A191," ","+"),"Open Maps")</f>
        <v>Open Maps</v>
      </c>
      <c r="F191" s="15" t="s">
        <v>184</v>
      </c>
      <c r="G191" s="15"/>
    </row>
    <row r="192" customFormat="false" ht="15" hidden="false" customHeight="false" outlineLevel="0" collapsed="false">
      <c r="A192" s="7" t="s">
        <v>36</v>
      </c>
      <c r="B192" s="7" t="s">
        <v>64</v>
      </c>
      <c r="C192" s="7" t="s">
        <v>65</v>
      </c>
      <c r="D192" s="7" t="s">
        <v>139</v>
      </c>
      <c r="E192" s="16" t="str">
        <f aca="false">HYPERLINK("https://www.google.com/maps/search/"&amp;SUBSTITUTE(C192&amp;" "&amp;D192&amp;" "&amp;A192," ","+"),"Open Maps")</f>
        <v>Open Maps</v>
      </c>
      <c r="F192" s="15" t="s">
        <v>184</v>
      </c>
      <c r="G192" s="15"/>
    </row>
    <row r="193" customFormat="false" ht="15" hidden="false" customHeight="false" outlineLevel="0" collapsed="false">
      <c r="A193" s="7" t="s">
        <v>36</v>
      </c>
      <c r="B193" s="7" t="s">
        <v>64</v>
      </c>
      <c r="C193" s="7" t="s">
        <v>65</v>
      </c>
      <c r="D193" s="7" t="s">
        <v>140</v>
      </c>
      <c r="E193" s="16" t="str">
        <f aca="false">HYPERLINK("https://www.google.com/maps/search/"&amp;SUBSTITUTE(C193&amp;" "&amp;D193&amp;" "&amp;A193," ","+"),"Open Maps")</f>
        <v>Open Maps</v>
      </c>
      <c r="F193" s="15" t="s">
        <v>184</v>
      </c>
      <c r="G193" s="15"/>
    </row>
    <row r="194" customFormat="false" ht="15" hidden="false" customHeight="false" outlineLevel="0" collapsed="false">
      <c r="A194" s="7" t="s">
        <v>36</v>
      </c>
      <c r="B194" s="7" t="s">
        <v>67</v>
      </c>
      <c r="C194" s="7" t="s">
        <v>68</v>
      </c>
      <c r="D194" s="7" t="s">
        <v>138</v>
      </c>
      <c r="E194" s="16" t="str">
        <f aca="false">HYPERLINK("https://www.google.com/maps/search/"&amp;SUBSTITUTE(C194&amp;" "&amp;D194&amp;" "&amp;A194," ","+"),"Open Maps")</f>
        <v>Open Maps</v>
      </c>
      <c r="F194" s="15" t="s">
        <v>184</v>
      </c>
      <c r="G194" s="15"/>
    </row>
    <row r="195" customFormat="false" ht="15" hidden="false" customHeight="false" outlineLevel="0" collapsed="false">
      <c r="A195" s="7" t="s">
        <v>36</v>
      </c>
      <c r="B195" s="7" t="s">
        <v>67</v>
      </c>
      <c r="C195" s="7" t="s">
        <v>68</v>
      </c>
      <c r="D195" s="7" t="s">
        <v>139</v>
      </c>
      <c r="E195" s="16" t="str">
        <f aca="false">HYPERLINK("https://www.google.com/maps/search/"&amp;SUBSTITUTE(C195&amp;" "&amp;D195&amp;" "&amp;A195," ","+"),"Open Maps")</f>
        <v>Open Maps</v>
      </c>
      <c r="F195" s="15" t="s">
        <v>184</v>
      </c>
      <c r="G195" s="15"/>
    </row>
    <row r="196" customFormat="false" ht="15" hidden="false" customHeight="false" outlineLevel="0" collapsed="false">
      <c r="A196" s="7" t="s">
        <v>36</v>
      </c>
      <c r="B196" s="7" t="s">
        <v>67</v>
      </c>
      <c r="C196" s="7" t="s">
        <v>68</v>
      </c>
      <c r="D196" s="7" t="s">
        <v>140</v>
      </c>
      <c r="E196" s="16" t="str">
        <f aca="false">HYPERLINK("https://www.google.com/maps/search/"&amp;SUBSTITUTE(C196&amp;" "&amp;D196&amp;" "&amp;A196," ","+"),"Open Maps")</f>
        <v>Open Maps</v>
      </c>
      <c r="F196" s="15" t="s">
        <v>184</v>
      </c>
      <c r="G196" s="15"/>
    </row>
    <row r="197" customFormat="false" ht="15" hidden="false" customHeight="false" outlineLevel="0" collapsed="false">
      <c r="A197" s="7" t="s">
        <v>36</v>
      </c>
      <c r="B197" s="7" t="s">
        <v>67</v>
      </c>
      <c r="C197" s="7" t="s">
        <v>69</v>
      </c>
      <c r="D197" s="7" t="s">
        <v>138</v>
      </c>
      <c r="E197" s="16" t="str">
        <f aca="false">HYPERLINK("https://www.google.com/maps/search/"&amp;SUBSTITUTE(C197&amp;" "&amp;D197&amp;" "&amp;A197," ","+"),"Open Maps")</f>
        <v>Open Maps</v>
      </c>
      <c r="F197" s="15" t="s">
        <v>184</v>
      </c>
      <c r="G197" s="15"/>
    </row>
    <row r="198" customFormat="false" ht="15" hidden="false" customHeight="false" outlineLevel="0" collapsed="false">
      <c r="A198" s="7" t="s">
        <v>36</v>
      </c>
      <c r="B198" s="7" t="s">
        <v>67</v>
      </c>
      <c r="C198" s="7" t="s">
        <v>69</v>
      </c>
      <c r="D198" s="7" t="s">
        <v>139</v>
      </c>
      <c r="E198" s="16" t="str">
        <f aca="false">HYPERLINK("https://www.google.com/maps/search/"&amp;SUBSTITUTE(C198&amp;" "&amp;D198&amp;" "&amp;A198," ","+"),"Open Maps")</f>
        <v>Open Maps</v>
      </c>
      <c r="F198" s="15" t="s">
        <v>184</v>
      </c>
      <c r="G198" s="15"/>
    </row>
    <row r="199" customFormat="false" ht="15" hidden="false" customHeight="false" outlineLevel="0" collapsed="false">
      <c r="A199" s="7" t="s">
        <v>36</v>
      </c>
      <c r="B199" s="7" t="s">
        <v>67</v>
      </c>
      <c r="C199" s="7" t="s">
        <v>69</v>
      </c>
      <c r="D199" s="7" t="s">
        <v>140</v>
      </c>
      <c r="E199" s="16" t="str">
        <f aca="false">HYPERLINK("https://www.google.com/maps/search/"&amp;SUBSTITUTE(C199&amp;" "&amp;D199&amp;" "&amp;A199," ","+"),"Open Maps")</f>
        <v>Open Maps</v>
      </c>
      <c r="F199" s="15" t="s">
        <v>184</v>
      </c>
      <c r="G199" s="15"/>
    </row>
    <row r="200" customFormat="false" ht="15" hidden="false" customHeight="false" outlineLevel="0" collapsed="false">
      <c r="A200" s="7" t="s">
        <v>36</v>
      </c>
      <c r="B200" s="7" t="s">
        <v>67</v>
      </c>
      <c r="C200" s="7" t="s">
        <v>71</v>
      </c>
      <c r="D200" s="7" t="s">
        <v>138</v>
      </c>
      <c r="E200" s="16" t="str">
        <f aca="false">HYPERLINK("https://www.google.com/maps/search/"&amp;SUBSTITUTE(C200&amp;" "&amp;D200&amp;" "&amp;A200," ","+"),"Open Maps")</f>
        <v>Open Maps</v>
      </c>
      <c r="F200" s="15" t="s">
        <v>184</v>
      </c>
      <c r="G200" s="15"/>
    </row>
    <row r="201" customFormat="false" ht="15" hidden="false" customHeight="false" outlineLevel="0" collapsed="false">
      <c r="A201" s="7" t="s">
        <v>36</v>
      </c>
      <c r="B201" s="7" t="s">
        <v>67</v>
      </c>
      <c r="C201" s="7" t="s">
        <v>71</v>
      </c>
      <c r="D201" s="7" t="s">
        <v>139</v>
      </c>
      <c r="E201" s="16" t="str">
        <f aca="false">HYPERLINK("https://www.google.com/maps/search/"&amp;SUBSTITUTE(C201&amp;" "&amp;D201&amp;" "&amp;A201," ","+"),"Open Maps")</f>
        <v>Open Maps</v>
      </c>
      <c r="F201" s="15" t="s">
        <v>184</v>
      </c>
      <c r="G201" s="15"/>
    </row>
    <row r="202" customFormat="false" ht="15" hidden="false" customHeight="false" outlineLevel="0" collapsed="false">
      <c r="A202" s="7" t="s">
        <v>36</v>
      </c>
      <c r="B202" s="7" t="s">
        <v>67</v>
      </c>
      <c r="C202" s="7" t="s">
        <v>71</v>
      </c>
      <c r="D202" s="7" t="s">
        <v>140</v>
      </c>
      <c r="E202" s="16" t="str">
        <f aca="false">HYPERLINK("https://www.google.com/maps/search/"&amp;SUBSTITUTE(C202&amp;" "&amp;D202&amp;" "&amp;A202," ","+"),"Open Maps")</f>
        <v>Open Maps</v>
      </c>
      <c r="F202" s="15" t="s">
        <v>184</v>
      </c>
      <c r="G202" s="15"/>
    </row>
    <row r="203" customFormat="false" ht="15" hidden="false" customHeight="false" outlineLevel="0" collapsed="false">
      <c r="A203" s="7" t="s">
        <v>36</v>
      </c>
      <c r="B203" s="7" t="s">
        <v>67</v>
      </c>
      <c r="C203" s="7" t="s">
        <v>72</v>
      </c>
      <c r="D203" s="7" t="s">
        <v>138</v>
      </c>
      <c r="E203" s="16" t="str">
        <f aca="false">HYPERLINK("https://www.google.com/maps/search/"&amp;SUBSTITUTE(C203&amp;" "&amp;D203&amp;" "&amp;A203," ","+"),"Open Maps")</f>
        <v>Open Maps</v>
      </c>
      <c r="F203" s="15" t="s">
        <v>184</v>
      </c>
      <c r="G203" s="15"/>
    </row>
    <row r="204" customFormat="false" ht="15" hidden="false" customHeight="false" outlineLevel="0" collapsed="false">
      <c r="A204" s="7" t="s">
        <v>36</v>
      </c>
      <c r="B204" s="7" t="s">
        <v>67</v>
      </c>
      <c r="C204" s="7" t="s">
        <v>72</v>
      </c>
      <c r="D204" s="7" t="s">
        <v>139</v>
      </c>
      <c r="E204" s="16" t="str">
        <f aca="false">HYPERLINK("https://www.google.com/maps/search/"&amp;SUBSTITUTE(C204&amp;" "&amp;D204&amp;" "&amp;A204," ","+"),"Open Maps")</f>
        <v>Open Maps</v>
      </c>
      <c r="F204" s="15" t="s">
        <v>184</v>
      </c>
      <c r="G204" s="15"/>
    </row>
    <row r="205" customFormat="false" ht="15" hidden="false" customHeight="false" outlineLevel="0" collapsed="false">
      <c r="A205" s="7" t="s">
        <v>36</v>
      </c>
      <c r="B205" s="7" t="s">
        <v>67</v>
      </c>
      <c r="C205" s="7" t="s">
        <v>72</v>
      </c>
      <c r="D205" s="7" t="s">
        <v>140</v>
      </c>
      <c r="E205" s="16" t="str">
        <f aca="false">HYPERLINK("https://www.google.com/maps/search/"&amp;SUBSTITUTE(C205&amp;" "&amp;D205&amp;" "&amp;A205," ","+"),"Open Maps")</f>
        <v>Open Maps</v>
      </c>
      <c r="F205" s="15" t="s">
        <v>184</v>
      </c>
      <c r="G205" s="15"/>
    </row>
    <row r="206" customFormat="false" ht="15" hidden="false" customHeight="false" outlineLevel="0" collapsed="false">
      <c r="A206" s="7" t="s">
        <v>36</v>
      </c>
      <c r="B206" s="7" t="s">
        <v>67</v>
      </c>
      <c r="C206" s="7" t="s">
        <v>73</v>
      </c>
      <c r="D206" s="7" t="s">
        <v>138</v>
      </c>
      <c r="E206" s="16" t="str">
        <f aca="false">HYPERLINK("https://www.google.com/maps/search/"&amp;SUBSTITUTE(C206&amp;" "&amp;D206&amp;" "&amp;A206," ","+"),"Open Maps")</f>
        <v>Open Maps</v>
      </c>
      <c r="F206" s="15" t="s">
        <v>184</v>
      </c>
      <c r="G206" s="15"/>
    </row>
    <row r="207" customFormat="false" ht="15" hidden="false" customHeight="false" outlineLevel="0" collapsed="false">
      <c r="A207" s="7" t="s">
        <v>36</v>
      </c>
      <c r="B207" s="7" t="s">
        <v>67</v>
      </c>
      <c r="C207" s="7" t="s">
        <v>73</v>
      </c>
      <c r="D207" s="7" t="s">
        <v>139</v>
      </c>
      <c r="E207" s="16" t="str">
        <f aca="false">HYPERLINK("https://www.google.com/maps/search/"&amp;SUBSTITUTE(C207&amp;" "&amp;D207&amp;" "&amp;A207," ","+"),"Open Maps")</f>
        <v>Open Maps</v>
      </c>
      <c r="F207" s="15" t="s">
        <v>184</v>
      </c>
      <c r="G207" s="15"/>
    </row>
    <row r="208" customFormat="false" ht="15" hidden="false" customHeight="false" outlineLevel="0" collapsed="false">
      <c r="A208" s="7" t="s">
        <v>36</v>
      </c>
      <c r="B208" s="7" t="s">
        <v>67</v>
      </c>
      <c r="C208" s="7" t="s">
        <v>73</v>
      </c>
      <c r="D208" s="7" t="s">
        <v>140</v>
      </c>
      <c r="E208" s="16" t="str">
        <f aca="false">HYPERLINK("https://www.google.com/maps/search/"&amp;SUBSTITUTE(C208&amp;" "&amp;D208&amp;" "&amp;A208," ","+"),"Open Maps")</f>
        <v>Open Maps</v>
      </c>
      <c r="F208" s="15" t="s">
        <v>184</v>
      </c>
      <c r="G208" s="15"/>
    </row>
    <row r="209" customFormat="false" ht="15" hidden="false" customHeight="false" outlineLevel="0" collapsed="false">
      <c r="A209" s="7" t="s">
        <v>36</v>
      </c>
      <c r="B209" s="7" t="s">
        <v>67</v>
      </c>
      <c r="C209" s="7" t="s">
        <v>74</v>
      </c>
      <c r="D209" s="7" t="s">
        <v>138</v>
      </c>
      <c r="E209" s="16" t="str">
        <f aca="false">HYPERLINK("https://www.google.com/maps/search/"&amp;SUBSTITUTE(C209&amp;" "&amp;D209&amp;" "&amp;A209," ","+"),"Open Maps")</f>
        <v>Open Maps</v>
      </c>
      <c r="F209" s="15" t="s">
        <v>184</v>
      </c>
      <c r="G209" s="15"/>
    </row>
    <row r="210" customFormat="false" ht="15" hidden="false" customHeight="false" outlineLevel="0" collapsed="false">
      <c r="A210" s="7" t="s">
        <v>36</v>
      </c>
      <c r="B210" s="7" t="s">
        <v>67</v>
      </c>
      <c r="C210" s="7" t="s">
        <v>74</v>
      </c>
      <c r="D210" s="7" t="s">
        <v>139</v>
      </c>
      <c r="E210" s="16" t="str">
        <f aca="false">HYPERLINK("https://www.google.com/maps/search/"&amp;SUBSTITUTE(C210&amp;" "&amp;D210&amp;" "&amp;A210," ","+"),"Open Maps")</f>
        <v>Open Maps</v>
      </c>
      <c r="F210" s="15" t="s">
        <v>184</v>
      </c>
      <c r="G210" s="15"/>
    </row>
    <row r="211" customFormat="false" ht="15" hidden="false" customHeight="false" outlineLevel="0" collapsed="false">
      <c r="A211" s="7" t="s">
        <v>36</v>
      </c>
      <c r="B211" s="7" t="s">
        <v>67</v>
      </c>
      <c r="C211" s="7" t="s">
        <v>74</v>
      </c>
      <c r="D211" s="7" t="s">
        <v>140</v>
      </c>
      <c r="E211" s="16" t="str">
        <f aca="false">HYPERLINK("https://www.google.com/maps/search/"&amp;SUBSTITUTE(C211&amp;" "&amp;D211&amp;" "&amp;A211," ","+"),"Open Maps")</f>
        <v>Open Maps</v>
      </c>
      <c r="F211" s="15" t="s">
        <v>184</v>
      </c>
      <c r="G211" s="15"/>
    </row>
    <row r="212" customFormat="false" ht="15" hidden="false" customHeight="false" outlineLevel="0" collapsed="false">
      <c r="A212" s="7" t="s">
        <v>36</v>
      </c>
      <c r="B212" s="7" t="s">
        <v>67</v>
      </c>
      <c r="C212" s="7" t="s">
        <v>75</v>
      </c>
      <c r="D212" s="7" t="s">
        <v>138</v>
      </c>
      <c r="E212" s="16" t="str">
        <f aca="false">HYPERLINK("https://www.google.com/maps/search/"&amp;SUBSTITUTE(C212&amp;" "&amp;D212&amp;" "&amp;A212," ","+"),"Open Maps")</f>
        <v>Open Maps</v>
      </c>
      <c r="F212" s="15" t="s">
        <v>184</v>
      </c>
      <c r="G212" s="15"/>
    </row>
    <row r="213" customFormat="false" ht="15" hidden="false" customHeight="false" outlineLevel="0" collapsed="false">
      <c r="A213" s="7" t="s">
        <v>36</v>
      </c>
      <c r="B213" s="7" t="s">
        <v>67</v>
      </c>
      <c r="C213" s="7" t="s">
        <v>75</v>
      </c>
      <c r="D213" s="7" t="s">
        <v>139</v>
      </c>
      <c r="E213" s="16" t="str">
        <f aca="false">HYPERLINK("https://www.google.com/maps/search/"&amp;SUBSTITUTE(C213&amp;" "&amp;D213&amp;" "&amp;A213," ","+"),"Open Maps")</f>
        <v>Open Maps</v>
      </c>
      <c r="F213" s="15" t="s">
        <v>184</v>
      </c>
      <c r="G213" s="15"/>
    </row>
    <row r="214" customFormat="false" ht="15" hidden="false" customHeight="false" outlineLevel="0" collapsed="false">
      <c r="A214" s="7" t="s">
        <v>36</v>
      </c>
      <c r="B214" s="7" t="s">
        <v>67</v>
      </c>
      <c r="C214" s="7" t="s">
        <v>75</v>
      </c>
      <c r="D214" s="7" t="s">
        <v>140</v>
      </c>
      <c r="E214" s="16" t="str">
        <f aca="false">HYPERLINK("https://www.google.com/maps/search/"&amp;SUBSTITUTE(C214&amp;" "&amp;D214&amp;" "&amp;A214," ","+"),"Open Maps")</f>
        <v>Open Maps</v>
      </c>
      <c r="F214" s="15" t="s">
        <v>184</v>
      </c>
      <c r="G214" s="15"/>
    </row>
    <row r="215" customFormat="false" ht="15" hidden="false" customHeight="false" outlineLevel="0" collapsed="false">
      <c r="A215" s="7" t="s">
        <v>36</v>
      </c>
      <c r="B215" s="7" t="s">
        <v>76</v>
      </c>
      <c r="C215" s="7" t="s">
        <v>77</v>
      </c>
      <c r="D215" s="7" t="s">
        <v>138</v>
      </c>
      <c r="E215" s="16" t="str">
        <f aca="false">HYPERLINK("https://www.google.com/maps/search/"&amp;SUBSTITUTE(C215&amp;" "&amp;D215&amp;" "&amp;A215," ","+"),"Open Maps")</f>
        <v>Open Maps</v>
      </c>
      <c r="F215" s="15" t="s">
        <v>184</v>
      </c>
      <c r="G215" s="15"/>
    </row>
    <row r="216" customFormat="false" ht="15" hidden="false" customHeight="false" outlineLevel="0" collapsed="false">
      <c r="A216" s="7" t="s">
        <v>36</v>
      </c>
      <c r="B216" s="7" t="s">
        <v>76</v>
      </c>
      <c r="C216" s="7" t="s">
        <v>77</v>
      </c>
      <c r="D216" s="7" t="s">
        <v>139</v>
      </c>
      <c r="E216" s="16" t="str">
        <f aca="false">HYPERLINK("https://www.google.com/maps/search/"&amp;SUBSTITUTE(C216&amp;" "&amp;D216&amp;" "&amp;A216," ","+"),"Open Maps")</f>
        <v>Open Maps</v>
      </c>
      <c r="F216" s="15" t="s">
        <v>184</v>
      </c>
      <c r="G216" s="15"/>
    </row>
    <row r="217" customFormat="false" ht="15" hidden="false" customHeight="false" outlineLevel="0" collapsed="false">
      <c r="A217" s="7" t="s">
        <v>36</v>
      </c>
      <c r="B217" s="7" t="s">
        <v>76</v>
      </c>
      <c r="C217" s="7" t="s">
        <v>77</v>
      </c>
      <c r="D217" s="7" t="s">
        <v>140</v>
      </c>
      <c r="E217" s="16" t="str">
        <f aca="false">HYPERLINK("https://www.google.com/maps/search/"&amp;SUBSTITUTE(C217&amp;" "&amp;D217&amp;" "&amp;A217," ","+"),"Open Maps")</f>
        <v>Open Maps</v>
      </c>
      <c r="F217" s="15" t="s">
        <v>184</v>
      </c>
      <c r="G217" s="15"/>
    </row>
    <row r="218" customFormat="false" ht="15" hidden="false" customHeight="false" outlineLevel="0" collapsed="false">
      <c r="A218" s="7" t="s">
        <v>38</v>
      </c>
      <c r="B218" s="7" t="s">
        <v>64</v>
      </c>
      <c r="C218" s="7" t="s">
        <v>65</v>
      </c>
      <c r="D218" s="7" t="s">
        <v>141</v>
      </c>
      <c r="E218" s="16" t="str">
        <f aca="false">HYPERLINK("https://www.google.com/maps/search/"&amp;SUBSTITUTE(C218&amp;" "&amp;D218&amp;" "&amp;A218," ","+"),"Open Maps")</f>
        <v>Open Maps</v>
      </c>
      <c r="F218" s="15" t="s">
        <v>184</v>
      </c>
      <c r="G218" s="15"/>
    </row>
    <row r="219" customFormat="false" ht="15" hidden="false" customHeight="false" outlineLevel="0" collapsed="false">
      <c r="A219" s="7" t="s">
        <v>38</v>
      </c>
      <c r="B219" s="7" t="s">
        <v>64</v>
      </c>
      <c r="C219" s="7" t="s">
        <v>65</v>
      </c>
      <c r="D219" s="7" t="s">
        <v>142</v>
      </c>
      <c r="E219" s="16" t="str">
        <f aca="false">HYPERLINK("https://www.google.com/maps/search/"&amp;SUBSTITUTE(C219&amp;" "&amp;D219&amp;" "&amp;A219," ","+"),"Open Maps")</f>
        <v>Open Maps</v>
      </c>
      <c r="F219" s="15" t="s">
        <v>184</v>
      </c>
      <c r="G219" s="15"/>
    </row>
    <row r="220" customFormat="false" ht="15" hidden="false" customHeight="false" outlineLevel="0" collapsed="false">
      <c r="A220" s="7" t="s">
        <v>38</v>
      </c>
      <c r="B220" s="7" t="s">
        <v>64</v>
      </c>
      <c r="C220" s="7" t="s">
        <v>65</v>
      </c>
      <c r="D220" s="7" t="s">
        <v>143</v>
      </c>
      <c r="E220" s="16" t="str">
        <f aca="false">HYPERLINK("https://www.google.com/maps/search/"&amp;SUBSTITUTE(C220&amp;" "&amp;D220&amp;" "&amp;A220," ","+"),"Open Maps")</f>
        <v>Open Maps</v>
      </c>
      <c r="F220" s="15" t="s">
        <v>184</v>
      </c>
      <c r="G220" s="15"/>
    </row>
    <row r="221" customFormat="false" ht="15" hidden="false" customHeight="false" outlineLevel="0" collapsed="false">
      <c r="A221" s="7" t="s">
        <v>38</v>
      </c>
      <c r="B221" s="7" t="s">
        <v>67</v>
      </c>
      <c r="C221" s="7" t="s">
        <v>68</v>
      </c>
      <c r="D221" s="7" t="s">
        <v>141</v>
      </c>
      <c r="E221" s="16" t="str">
        <f aca="false">HYPERLINK("https://www.google.com/maps/search/"&amp;SUBSTITUTE(C221&amp;" "&amp;D221&amp;" "&amp;A221," ","+"),"Open Maps")</f>
        <v>Open Maps</v>
      </c>
      <c r="F221" s="15" t="s">
        <v>184</v>
      </c>
      <c r="G221" s="15"/>
    </row>
    <row r="222" customFormat="false" ht="15" hidden="false" customHeight="false" outlineLevel="0" collapsed="false">
      <c r="A222" s="7" t="s">
        <v>38</v>
      </c>
      <c r="B222" s="7" t="s">
        <v>67</v>
      </c>
      <c r="C222" s="7" t="s">
        <v>68</v>
      </c>
      <c r="D222" s="7" t="s">
        <v>142</v>
      </c>
      <c r="E222" s="16" t="str">
        <f aca="false">HYPERLINK("https://www.google.com/maps/search/"&amp;SUBSTITUTE(C222&amp;" "&amp;D222&amp;" "&amp;A222," ","+"),"Open Maps")</f>
        <v>Open Maps</v>
      </c>
      <c r="F222" s="15" t="s">
        <v>184</v>
      </c>
      <c r="G222" s="15"/>
    </row>
    <row r="223" customFormat="false" ht="15" hidden="false" customHeight="false" outlineLevel="0" collapsed="false">
      <c r="A223" s="7" t="s">
        <v>38</v>
      </c>
      <c r="B223" s="7" t="s">
        <v>67</v>
      </c>
      <c r="C223" s="7" t="s">
        <v>68</v>
      </c>
      <c r="D223" s="7" t="s">
        <v>143</v>
      </c>
      <c r="E223" s="16" t="str">
        <f aca="false">HYPERLINK("https://www.google.com/maps/search/"&amp;SUBSTITUTE(C223&amp;" "&amp;D223&amp;" "&amp;A223," ","+"),"Open Maps")</f>
        <v>Open Maps</v>
      </c>
      <c r="F223" s="15" t="s">
        <v>184</v>
      </c>
      <c r="G223" s="15"/>
    </row>
    <row r="224" customFormat="false" ht="15" hidden="false" customHeight="false" outlineLevel="0" collapsed="false">
      <c r="A224" s="7" t="s">
        <v>38</v>
      </c>
      <c r="B224" s="7" t="s">
        <v>67</v>
      </c>
      <c r="C224" s="7" t="s">
        <v>69</v>
      </c>
      <c r="D224" s="7" t="s">
        <v>141</v>
      </c>
      <c r="E224" s="16" t="str">
        <f aca="false">HYPERLINK("https://www.google.com/maps/search/"&amp;SUBSTITUTE(C224&amp;" "&amp;D224&amp;" "&amp;A224," ","+"),"Open Maps")</f>
        <v>Open Maps</v>
      </c>
      <c r="F224" s="15" t="s">
        <v>184</v>
      </c>
      <c r="G224" s="15"/>
    </row>
    <row r="225" customFormat="false" ht="15" hidden="false" customHeight="false" outlineLevel="0" collapsed="false">
      <c r="A225" s="7" t="s">
        <v>38</v>
      </c>
      <c r="B225" s="7" t="s">
        <v>67</v>
      </c>
      <c r="C225" s="7" t="s">
        <v>69</v>
      </c>
      <c r="D225" s="7" t="s">
        <v>142</v>
      </c>
      <c r="E225" s="16" t="str">
        <f aca="false">HYPERLINK("https://www.google.com/maps/search/"&amp;SUBSTITUTE(C225&amp;" "&amp;D225&amp;" "&amp;A225," ","+"),"Open Maps")</f>
        <v>Open Maps</v>
      </c>
      <c r="F225" s="15" t="s">
        <v>184</v>
      </c>
      <c r="G225" s="15"/>
    </row>
    <row r="226" customFormat="false" ht="15" hidden="false" customHeight="false" outlineLevel="0" collapsed="false">
      <c r="A226" s="7" t="s">
        <v>38</v>
      </c>
      <c r="B226" s="7" t="s">
        <v>67</v>
      </c>
      <c r="C226" s="7" t="s">
        <v>69</v>
      </c>
      <c r="D226" s="7" t="s">
        <v>143</v>
      </c>
      <c r="E226" s="16" t="str">
        <f aca="false">HYPERLINK("https://www.google.com/maps/search/"&amp;SUBSTITUTE(C226&amp;" "&amp;D226&amp;" "&amp;A226," ","+"),"Open Maps")</f>
        <v>Open Maps</v>
      </c>
      <c r="F226" s="15" t="s">
        <v>184</v>
      </c>
      <c r="G226" s="15"/>
    </row>
    <row r="227" customFormat="false" ht="15" hidden="false" customHeight="false" outlineLevel="0" collapsed="false">
      <c r="A227" s="7" t="s">
        <v>38</v>
      </c>
      <c r="B227" s="7" t="s">
        <v>67</v>
      </c>
      <c r="C227" s="7" t="s">
        <v>71</v>
      </c>
      <c r="D227" s="7" t="s">
        <v>141</v>
      </c>
      <c r="E227" s="16" t="str">
        <f aca="false">HYPERLINK("https://www.google.com/maps/search/"&amp;SUBSTITUTE(C227&amp;" "&amp;D227&amp;" "&amp;A227," ","+"),"Open Maps")</f>
        <v>Open Maps</v>
      </c>
      <c r="F227" s="15" t="s">
        <v>184</v>
      </c>
      <c r="G227" s="15"/>
    </row>
    <row r="228" customFormat="false" ht="15" hidden="false" customHeight="false" outlineLevel="0" collapsed="false">
      <c r="A228" s="7" t="s">
        <v>38</v>
      </c>
      <c r="B228" s="7" t="s">
        <v>67</v>
      </c>
      <c r="C228" s="7" t="s">
        <v>71</v>
      </c>
      <c r="D228" s="7" t="s">
        <v>142</v>
      </c>
      <c r="E228" s="16" t="str">
        <f aca="false">HYPERLINK("https://www.google.com/maps/search/"&amp;SUBSTITUTE(C228&amp;" "&amp;D228&amp;" "&amp;A228," ","+"),"Open Maps")</f>
        <v>Open Maps</v>
      </c>
      <c r="F228" s="15" t="s">
        <v>184</v>
      </c>
      <c r="G228" s="15"/>
    </row>
    <row r="229" customFormat="false" ht="15" hidden="false" customHeight="false" outlineLevel="0" collapsed="false">
      <c r="A229" s="7" t="s">
        <v>38</v>
      </c>
      <c r="B229" s="7" t="s">
        <v>67</v>
      </c>
      <c r="C229" s="7" t="s">
        <v>71</v>
      </c>
      <c r="D229" s="7" t="s">
        <v>143</v>
      </c>
      <c r="E229" s="16" t="str">
        <f aca="false">HYPERLINK("https://www.google.com/maps/search/"&amp;SUBSTITUTE(C229&amp;" "&amp;D229&amp;" "&amp;A229," ","+"),"Open Maps")</f>
        <v>Open Maps</v>
      </c>
      <c r="F229" s="15" t="s">
        <v>184</v>
      </c>
      <c r="G229" s="15"/>
    </row>
    <row r="230" customFormat="false" ht="15" hidden="false" customHeight="false" outlineLevel="0" collapsed="false">
      <c r="A230" s="7" t="s">
        <v>38</v>
      </c>
      <c r="B230" s="7" t="s">
        <v>67</v>
      </c>
      <c r="C230" s="7" t="s">
        <v>72</v>
      </c>
      <c r="D230" s="7" t="s">
        <v>141</v>
      </c>
      <c r="E230" s="16" t="str">
        <f aca="false">HYPERLINK("https://www.google.com/maps/search/"&amp;SUBSTITUTE(C230&amp;" "&amp;D230&amp;" "&amp;A230," ","+"),"Open Maps")</f>
        <v>Open Maps</v>
      </c>
      <c r="F230" s="15" t="s">
        <v>184</v>
      </c>
      <c r="G230" s="15"/>
    </row>
    <row r="231" customFormat="false" ht="15" hidden="false" customHeight="false" outlineLevel="0" collapsed="false">
      <c r="A231" s="7" t="s">
        <v>38</v>
      </c>
      <c r="B231" s="7" t="s">
        <v>67</v>
      </c>
      <c r="C231" s="7" t="s">
        <v>72</v>
      </c>
      <c r="D231" s="7" t="s">
        <v>142</v>
      </c>
      <c r="E231" s="16" t="str">
        <f aca="false">HYPERLINK("https://www.google.com/maps/search/"&amp;SUBSTITUTE(C231&amp;" "&amp;D231&amp;" "&amp;A231," ","+"),"Open Maps")</f>
        <v>Open Maps</v>
      </c>
      <c r="F231" s="15" t="s">
        <v>184</v>
      </c>
      <c r="G231" s="15"/>
    </row>
    <row r="232" customFormat="false" ht="15" hidden="false" customHeight="false" outlineLevel="0" collapsed="false">
      <c r="A232" s="7" t="s">
        <v>38</v>
      </c>
      <c r="B232" s="7" t="s">
        <v>67</v>
      </c>
      <c r="C232" s="7" t="s">
        <v>72</v>
      </c>
      <c r="D232" s="7" t="s">
        <v>143</v>
      </c>
      <c r="E232" s="16" t="str">
        <f aca="false">HYPERLINK("https://www.google.com/maps/search/"&amp;SUBSTITUTE(C232&amp;" "&amp;D232&amp;" "&amp;A232," ","+"),"Open Maps")</f>
        <v>Open Maps</v>
      </c>
      <c r="F232" s="15" t="s">
        <v>184</v>
      </c>
      <c r="G232" s="15"/>
    </row>
    <row r="233" customFormat="false" ht="15" hidden="false" customHeight="false" outlineLevel="0" collapsed="false">
      <c r="A233" s="7" t="s">
        <v>38</v>
      </c>
      <c r="B233" s="7" t="s">
        <v>67</v>
      </c>
      <c r="C233" s="7" t="s">
        <v>73</v>
      </c>
      <c r="D233" s="7" t="s">
        <v>141</v>
      </c>
      <c r="E233" s="16" t="str">
        <f aca="false">HYPERLINK("https://www.google.com/maps/search/"&amp;SUBSTITUTE(C233&amp;" "&amp;D233&amp;" "&amp;A233," ","+"),"Open Maps")</f>
        <v>Open Maps</v>
      </c>
      <c r="F233" s="15" t="s">
        <v>184</v>
      </c>
      <c r="G233" s="15"/>
    </row>
    <row r="234" customFormat="false" ht="15" hidden="false" customHeight="false" outlineLevel="0" collapsed="false">
      <c r="A234" s="7" t="s">
        <v>38</v>
      </c>
      <c r="B234" s="7" t="s">
        <v>67</v>
      </c>
      <c r="C234" s="7" t="s">
        <v>73</v>
      </c>
      <c r="D234" s="7" t="s">
        <v>142</v>
      </c>
      <c r="E234" s="16" t="str">
        <f aca="false">HYPERLINK("https://www.google.com/maps/search/"&amp;SUBSTITUTE(C234&amp;" "&amp;D234&amp;" "&amp;A234," ","+"),"Open Maps")</f>
        <v>Open Maps</v>
      </c>
      <c r="F234" s="15" t="s">
        <v>184</v>
      </c>
      <c r="G234" s="15"/>
    </row>
    <row r="235" customFormat="false" ht="15" hidden="false" customHeight="false" outlineLevel="0" collapsed="false">
      <c r="A235" s="7" t="s">
        <v>38</v>
      </c>
      <c r="B235" s="7" t="s">
        <v>67</v>
      </c>
      <c r="C235" s="7" t="s">
        <v>73</v>
      </c>
      <c r="D235" s="7" t="s">
        <v>143</v>
      </c>
      <c r="E235" s="16" t="str">
        <f aca="false">HYPERLINK("https://www.google.com/maps/search/"&amp;SUBSTITUTE(C235&amp;" "&amp;D235&amp;" "&amp;A235," ","+"),"Open Maps")</f>
        <v>Open Maps</v>
      </c>
      <c r="F235" s="15" t="s">
        <v>184</v>
      </c>
      <c r="G235" s="15"/>
    </row>
    <row r="236" customFormat="false" ht="15" hidden="false" customHeight="false" outlineLevel="0" collapsed="false">
      <c r="A236" s="7" t="s">
        <v>38</v>
      </c>
      <c r="B236" s="7" t="s">
        <v>67</v>
      </c>
      <c r="C236" s="7" t="s">
        <v>74</v>
      </c>
      <c r="D236" s="7" t="s">
        <v>141</v>
      </c>
      <c r="E236" s="16" t="str">
        <f aca="false">HYPERLINK("https://www.google.com/maps/search/"&amp;SUBSTITUTE(C236&amp;" "&amp;D236&amp;" "&amp;A236," ","+"),"Open Maps")</f>
        <v>Open Maps</v>
      </c>
      <c r="F236" s="15" t="s">
        <v>184</v>
      </c>
      <c r="G236" s="15"/>
    </row>
    <row r="237" customFormat="false" ht="15" hidden="false" customHeight="false" outlineLevel="0" collapsed="false">
      <c r="A237" s="7" t="s">
        <v>38</v>
      </c>
      <c r="B237" s="7" t="s">
        <v>67</v>
      </c>
      <c r="C237" s="7" t="s">
        <v>74</v>
      </c>
      <c r="D237" s="7" t="s">
        <v>142</v>
      </c>
      <c r="E237" s="16" t="str">
        <f aca="false">HYPERLINK("https://www.google.com/maps/search/"&amp;SUBSTITUTE(C237&amp;" "&amp;D237&amp;" "&amp;A237," ","+"),"Open Maps")</f>
        <v>Open Maps</v>
      </c>
      <c r="F237" s="15" t="s">
        <v>184</v>
      </c>
      <c r="G237" s="15"/>
    </row>
    <row r="238" customFormat="false" ht="15" hidden="false" customHeight="false" outlineLevel="0" collapsed="false">
      <c r="A238" s="7" t="s">
        <v>38</v>
      </c>
      <c r="B238" s="7" t="s">
        <v>67</v>
      </c>
      <c r="C238" s="7" t="s">
        <v>74</v>
      </c>
      <c r="D238" s="7" t="s">
        <v>143</v>
      </c>
      <c r="E238" s="16" t="str">
        <f aca="false">HYPERLINK("https://www.google.com/maps/search/"&amp;SUBSTITUTE(C238&amp;" "&amp;D238&amp;" "&amp;A238," ","+"),"Open Maps")</f>
        <v>Open Maps</v>
      </c>
      <c r="F238" s="15" t="s">
        <v>184</v>
      </c>
      <c r="G238" s="15"/>
    </row>
    <row r="239" customFormat="false" ht="15" hidden="false" customHeight="false" outlineLevel="0" collapsed="false">
      <c r="A239" s="7" t="s">
        <v>38</v>
      </c>
      <c r="B239" s="7" t="s">
        <v>67</v>
      </c>
      <c r="C239" s="7" t="s">
        <v>75</v>
      </c>
      <c r="D239" s="7" t="s">
        <v>141</v>
      </c>
      <c r="E239" s="16" t="str">
        <f aca="false">HYPERLINK("https://www.google.com/maps/search/"&amp;SUBSTITUTE(C239&amp;" "&amp;D239&amp;" "&amp;A239," ","+"),"Open Maps")</f>
        <v>Open Maps</v>
      </c>
      <c r="F239" s="15" t="s">
        <v>184</v>
      </c>
      <c r="G239" s="15"/>
    </row>
    <row r="240" customFormat="false" ht="15" hidden="false" customHeight="false" outlineLevel="0" collapsed="false">
      <c r="A240" s="7" t="s">
        <v>38</v>
      </c>
      <c r="B240" s="7" t="s">
        <v>67</v>
      </c>
      <c r="C240" s="7" t="s">
        <v>75</v>
      </c>
      <c r="D240" s="7" t="s">
        <v>142</v>
      </c>
      <c r="E240" s="16" t="str">
        <f aca="false">HYPERLINK("https://www.google.com/maps/search/"&amp;SUBSTITUTE(C240&amp;" "&amp;D240&amp;" "&amp;A240," ","+"),"Open Maps")</f>
        <v>Open Maps</v>
      </c>
      <c r="F240" s="15" t="s">
        <v>184</v>
      </c>
      <c r="G240" s="15"/>
    </row>
    <row r="241" customFormat="false" ht="15" hidden="false" customHeight="false" outlineLevel="0" collapsed="false">
      <c r="A241" s="7" t="s">
        <v>38</v>
      </c>
      <c r="B241" s="7" t="s">
        <v>67</v>
      </c>
      <c r="C241" s="7" t="s">
        <v>75</v>
      </c>
      <c r="D241" s="7" t="s">
        <v>143</v>
      </c>
      <c r="E241" s="16" t="str">
        <f aca="false">HYPERLINK("https://www.google.com/maps/search/"&amp;SUBSTITUTE(C241&amp;" "&amp;D241&amp;" "&amp;A241," ","+"),"Open Maps")</f>
        <v>Open Maps</v>
      </c>
      <c r="F241" s="15" t="s">
        <v>184</v>
      </c>
      <c r="G241" s="15"/>
    </row>
    <row r="242" customFormat="false" ht="15" hidden="false" customHeight="false" outlineLevel="0" collapsed="false">
      <c r="A242" s="7" t="s">
        <v>38</v>
      </c>
      <c r="B242" s="7" t="s">
        <v>76</v>
      </c>
      <c r="C242" s="7" t="s">
        <v>77</v>
      </c>
      <c r="D242" s="7" t="s">
        <v>141</v>
      </c>
      <c r="E242" s="16" t="str">
        <f aca="false">HYPERLINK("https://www.google.com/maps/search/"&amp;SUBSTITUTE(C242&amp;" "&amp;D242&amp;" "&amp;A242," ","+"),"Open Maps")</f>
        <v>Open Maps</v>
      </c>
      <c r="F242" s="15" t="s">
        <v>184</v>
      </c>
      <c r="G242" s="15"/>
    </row>
    <row r="243" customFormat="false" ht="15" hidden="false" customHeight="false" outlineLevel="0" collapsed="false">
      <c r="A243" s="7" t="s">
        <v>38</v>
      </c>
      <c r="B243" s="7" t="s">
        <v>76</v>
      </c>
      <c r="C243" s="7" t="s">
        <v>77</v>
      </c>
      <c r="D243" s="7" t="s">
        <v>142</v>
      </c>
      <c r="E243" s="16" t="str">
        <f aca="false">HYPERLINK("https://www.google.com/maps/search/"&amp;SUBSTITUTE(C243&amp;" "&amp;D243&amp;" "&amp;A243," ","+"),"Open Maps")</f>
        <v>Open Maps</v>
      </c>
      <c r="F243" s="15" t="s">
        <v>184</v>
      </c>
      <c r="G243" s="15"/>
    </row>
    <row r="244" customFormat="false" ht="15" hidden="false" customHeight="false" outlineLevel="0" collapsed="false">
      <c r="A244" s="7" t="s">
        <v>38</v>
      </c>
      <c r="B244" s="7" t="s">
        <v>76</v>
      </c>
      <c r="C244" s="7" t="s">
        <v>77</v>
      </c>
      <c r="D244" s="7" t="s">
        <v>143</v>
      </c>
      <c r="E244" s="16" t="str">
        <f aca="false">HYPERLINK("https://www.google.com/maps/search/"&amp;SUBSTITUTE(C244&amp;" "&amp;D244&amp;" "&amp;A244," ","+"),"Open Maps")</f>
        <v>Open Maps</v>
      </c>
      <c r="F244" s="15" t="s">
        <v>184</v>
      </c>
      <c r="G244" s="15"/>
    </row>
    <row r="245" customFormat="false" ht="15" hidden="false" customHeight="false" outlineLevel="0" collapsed="false">
      <c r="A245" s="7" t="s">
        <v>40</v>
      </c>
      <c r="B245" s="7" t="s">
        <v>64</v>
      </c>
      <c r="C245" s="7" t="s">
        <v>87</v>
      </c>
      <c r="D245" s="7" t="s">
        <v>144</v>
      </c>
      <c r="E245" s="16" t="str">
        <f aca="false">HYPERLINK("https://www.google.com/maps/search/"&amp;SUBSTITUTE(C245&amp;" "&amp;D245&amp;" "&amp;A245," ","+"),"Open Maps")</f>
        <v>Open Maps</v>
      </c>
      <c r="F245" s="15" t="s">
        <v>184</v>
      </c>
      <c r="G245" s="15"/>
    </row>
    <row r="246" customFormat="false" ht="15" hidden="false" customHeight="false" outlineLevel="0" collapsed="false">
      <c r="A246" s="7" t="s">
        <v>40</v>
      </c>
      <c r="B246" s="7" t="s">
        <v>64</v>
      </c>
      <c r="C246" s="7" t="s">
        <v>87</v>
      </c>
      <c r="D246" s="7" t="s">
        <v>145</v>
      </c>
      <c r="E246" s="16" t="str">
        <f aca="false">HYPERLINK("https://www.google.com/maps/search/"&amp;SUBSTITUTE(C246&amp;" "&amp;D246&amp;" "&amp;A246," ","+"),"Open Maps")</f>
        <v>Open Maps</v>
      </c>
      <c r="F246" s="15" t="s">
        <v>184</v>
      </c>
      <c r="G246" s="15"/>
    </row>
    <row r="247" customFormat="false" ht="15" hidden="false" customHeight="false" outlineLevel="0" collapsed="false">
      <c r="A247" s="7" t="s">
        <v>40</v>
      </c>
      <c r="B247" s="7" t="s">
        <v>64</v>
      </c>
      <c r="C247" s="7" t="s">
        <v>87</v>
      </c>
      <c r="D247" s="7" t="s">
        <v>146</v>
      </c>
      <c r="E247" s="16" t="str">
        <f aca="false">HYPERLINK("https://www.google.com/maps/search/"&amp;SUBSTITUTE(C247&amp;" "&amp;D247&amp;" "&amp;A247," ","+"),"Open Maps")</f>
        <v>Open Maps</v>
      </c>
      <c r="F247" s="15" t="s">
        <v>184</v>
      </c>
      <c r="G247" s="15"/>
    </row>
    <row r="248" customFormat="false" ht="15" hidden="false" customHeight="false" outlineLevel="0" collapsed="false">
      <c r="A248" s="7" t="s">
        <v>40</v>
      </c>
      <c r="B248" s="7" t="s">
        <v>64</v>
      </c>
      <c r="C248" s="7" t="s">
        <v>87</v>
      </c>
      <c r="D248" s="7" t="s">
        <v>147</v>
      </c>
      <c r="E248" s="16" t="str">
        <f aca="false">HYPERLINK("https://www.google.com/maps/search/"&amp;SUBSTITUTE(C248&amp;" "&amp;D248&amp;" "&amp;A248," ","+"),"Open Maps")</f>
        <v>Open Maps</v>
      </c>
      <c r="F248" s="15" t="s">
        <v>184</v>
      </c>
      <c r="G248" s="15"/>
    </row>
    <row r="249" customFormat="false" ht="15" hidden="false" customHeight="false" outlineLevel="0" collapsed="false">
      <c r="A249" s="7" t="s">
        <v>40</v>
      </c>
      <c r="B249" s="7" t="s">
        <v>67</v>
      </c>
      <c r="C249" s="7" t="s">
        <v>89</v>
      </c>
      <c r="D249" s="7" t="s">
        <v>144</v>
      </c>
      <c r="E249" s="16" t="str">
        <f aca="false">HYPERLINK("https://www.google.com/maps/search/"&amp;SUBSTITUTE(C249&amp;" "&amp;D249&amp;" "&amp;A249," ","+"),"Open Maps")</f>
        <v>Open Maps</v>
      </c>
      <c r="F249" s="15" t="s">
        <v>184</v>
      </c>
      <c r="G249" s="15"/>
    </row>
    <row r="250" customFormat="false" ht="15" hidden="false" customHeight="false" outlineLevel="0" collapsed="false">
      <c r="A250" s="7" t="s">
        <v>40</v>
      </c>
      <c r="B250" s="7" t="s">
        <v>67</v>
      </c>
      <c r="C250" s="7" t="s">
        <v>89</v>
      </c>
      <c r="D250" s="7" t="s">
        <v>145</v>
      </c>
      <c r="E250" s="16" t="str">
        <f aca="false">HYPERLINK("https://www.google.com/maps/search/"&amp;SUBSTITUTE(C250&amp;" "&amp;D250&amp;" "&amp;A250," ","+"),"Open Maps")</f>
        <v>Open Maps</v>
      </c>
      <c r="F250" s="15" t="s">
        <v>184</v>
      </c>
      <c r="G250" s="15"/>
    </row>
    <row r="251" customFormat="false" ht="15" hidden="false" customHeight="false" outlineLevel="0" collapsed="false">
      <c r="A251" s="7" t="s">
        <v>40</v>
      </c>
      <c r="B251" s="7" t="s">
        <v>67</v>
      </c>
      <c r="C251" s="7" t="s">
        <v>89</v>
      </c>
      <c r="D251" s="7" t="s">
        <v>146</v>
      </c>
      <c r="E251" s="16" t="str">
        <f aca="false">HYPERLINK("https://www.google.com/maps/search/"&amp;SUBSTITUTE(C251&amp;" "&amp;D251&amp;" "&amp;A251," ","+"),"Open Maps")</f>
        <v>Open Maps</v>
      </c>
      <c r="F251" s="15" t="s">
        <v>184</v>
      </c>
      <c r="G251" s="15"/>
    </row>
    <row r="252" customFormat="false" ht="15" hidden="false" customHeight="false" outlineLevel="0" collapsed="false">
      <c r="A252" s="7" t="s">
        <v>40</v>
      </c>
      <c r="B252" s="7" t="s">
        <v>67</v>
      </c>
      <c r="C252" s="7" t="s">
        <v>89</v>
      </c>
      <c r="D252" s="7" t="s">
        <v>147</v>
      </c>
      <c r="E252" s="16" t="str">
        <f aca="false">HYPERLINK("https://www.google.com/maps/search/"&amp;SUBSTITUTE(C252&amp;" "&amp;D252&amp;" "&amp;A252," ","+"),"Open Maps")</f>
        <v>Open Maps</v>
      </c>
      <c r="F252" s="15" t="s">
        <v>184</v>
      </c>
      <c r="G252" s="15"/>
    </row>
    <row r="253" customFormat="false" ht="15" hidden="false" customHeight="false" outlineLevel="0" collapsed="false">
      <c r="A253" s="7" t="s">
        <v>40</v>
      </c>
      <c r="B253" s="7" t="s">
        <v>67</v>
      </c>
      <c r="C253" s="7" t="s">
        <v>90</v>
      </c>
      <c r="D253" s="7" t="s">
        <v>144</v>
      </c>
      <c r="E253" s="16" t="str">
        <f aca="false">HYPERLINK("https://www.google.com/maps/search/"&amp;SUBSTITUTE(C253&amp;" "&amp;D253&amp;" "&amp;A253," ","+"),"Open Maps")</f>
        <v>Open Maps</v>
      </c>
      <c r="F253" s="15" t="s">
        <v>184</v>
      </c>
      <c r="G253" s="15"/>
    </row>
    <row r="254" customFormat="false" ht="15" hidden="false" customHeight="false" outlineLevel="0" collapsed="false">
      <c r="A254" s="7" t="s">
        <v>40</v>
      </c>
      <c r="B254" s="7" t="s">
        <v>67</v>
      </c>
      <c r="C254" s="7" t="s">
        <v>90</v>
      </c>
      <c r="D254" s="7" t="s">
        <v>145</v>
      </c>
      <c r="E254" s="16" t="str">
        <f aca="false">HYPERLINK("https://www.google.com/maps/search/"&amp;SUBSTITUTE(C254&amp;" "&amp;D254&amp;" "&amp;A254," ","+"),"Open Maps")</f>
        <v>Open Maps</v>
      </c>
      <c r="F254" s="15" t="s">
        <v>184</v>
      </c>
      <c r="G254" s="15"/>
    </row>
    <row r="255" customFormat="false" ht="15" hidden="false" customHeight="false" outlineLevel="0" collapsed="false">
      <c r="A255" s="7" t="s">
        <v>40</v>
      </c>
      <c r="B255" s="7" t="s">
        <v>67</v>
      </c>
      <c r="C255" s="7" t="s">
        <v>90</v>
      </c>
      <c r="D255" s="7" t="s">
        <v>146</v>
      </c>
      <c r="E255" s="16" t="str">
        <f aca="false">HYPERLINK("https://www.google.com/maps/search/"&amp;SUBSTITUTE(C255&amp;" "&amp;D255&amp;" "&amp;A255," ","+"),"Open Maps")</f>
        <v>Open Maps</v>
      </c>
      <c r="F255" s="15" t="s">
        <v>184</v>
      </c>
      <c r="G255" s="15"/>
    </row>
    <row r="256" customFormat="false" ht="15" hidden="false" customHeight="false" outlineLevel="0" collapsed="false">
      <c r="A256" s="7" t="s">
        <v>40</v>
      </c>
      <c r="B256" s="7" t="s">
        <v>67</v>
      </c>
      <c r="C256" s="7" t="s">
        <v>90</v>
      </c>
      <c r="D256" s="7" t="s">
        <v>147</v>
      </c>
      <c r="E256" s="16" t="str">
        <f aca="false">HYPERLINK("https://www.google.com/maps/search/"&amp;SUBSTITUTE(C256&amp;" "&amp;D256&amp;" "&amp;A256," ","+"),"Open Maps")</f>
        <v>Open Maps</v>
      </c>
      <c r="F256" s="15" t="s">
        <v>184</v>
      </c>
      <c r="G256" s="15"/>
    </row>
    <row r="257" customFormat="false" ht="15" hidden="false" customHeight="false" outlineLevel="0" collapsed="false">
      <c r="A257" s="7" t="s">
        <v>40</v>
      </c>
      <c r="B257" s="7" t="s">
        <v>67</v>
      </c>
      <c r="C257" s="7" t="s">
        <v>91</v>
      </c>
      <c r="D257" s="7" t="s">
        <v>144</v>
      </c>
      <c r="E257" s="16" t="str">
        <f aca="false">HYPERLINK("https://www.google.com/maps/search/"&amp;SUBSTITUTE(C257&amp;" "&amp;D257&amp;" "&amp;A257," ","+"),"Open Maps")</f>
        <v>Open Maps</v>
      </c>
      <c r="F257" s="15" t="s">
        <v>184</v>
      </c>
      <c r="G257" s="15"/>
    </row>
    <row r="258" customFormat="false" ht="15" hidden="false" customHeight="false" outlineLevel="0" collapsed="false">
      <c r="A258" s="7" t="s">
        <v>40</v>
      </c>
      <c r="B258" s="7" t="s">
        <v>67</v>
      </c>
      <c r="C258" s="7" t="s">
        <v>91</v>
      </c>
      <c r="D258" s="7" t="s">
        <v>145</v>
      </c>
      <c r="E258" s="16" t="str">
        <f aca="false">HYPERLINK("https://www.google.com/maps/search/"&amp;SUBSTITUTE(C258&amp;" "&amp;D258&amp;" "&amp;A258," ","+"),"Open Maps")</f>
        <v>Open Maps</v>
      </c>
      <c r="F258" s="15" t="s">
        <v>184</v>
      </c>
      <c r="G258" s="15"/>
    </row>
    <row r="259" customFormat="false" ht="15" hidden="false" customHeight="false" outlineLevel="0" collapsed="false">
      <c r="A259" s="7" t="s">
        <v>40</v>
      </c>
      <c r="B259" s="7" t="s">
        <v>67</v>
      </c>
      <c r="C259" s="7" t="s">
        <v>91</v>
      </c>
      <c r="D259" s="7" t="s">
        <v>146</v>
      </c>
      <c r="E259" s="16" t="str">
        <f aca="false">HYPERLINK("https://www.google.com/maps/search/"&amp;SUBSTITUTE(C259&amp;" "&amp;D259&amp;" "&amp;A259," ","+"),"Open Maps")</f>
        <v>Open Maps</v>
      </c>
      <c r="F259" s="15" t="s">
        <v>184</v>
      </c>
      <c r="G259" s="15"/>
    </row>
    <row r="260" customFormat="false" ht="15" hidden="false" customHeight="false" outlineLevel="0" collapsed="false">
      <c r="A260" s="7" t="s">
        <v>40</v>
      </c>
      <c r="B260" s="7" t="s">
        <v>67</v>
      </c>
      <c r="C260" s="7" t="s">
        <v>91</v>
      </c>
      <c r="D260" s="7" t="s">
        <v>147</v>
      </c>
      <c r="E260" s="16" t="str">
        <f aca="false">HYPERLINK("https://www.google.com/maps/search/"&amp;SUBSTITUTE(C260&amp;" "&amp;D260&amp;" "&amp;A260," ","+"),"Open Maps")</f>
        <v>Open Maps</v>
      </c>
      <c r="F260" s="15" t="s">
        <v>184</v>
      </c>
      <c r="G260" s="15"/>
    </row>
    <row r="261" customFormat="false" ht="15" hidden="false" customHeight="false" outlineLevel="0" collapsed="false">
      <c r="A261" s="7" t="s">
        <v>40</v>
      </c>
      <c r="B261" s="7" t="s">
        <v>67</v>
      </c>
      <c r="C261" s="7" t="s">
        <v>73</v>
      </c>
      <c r="D261" s="7" t="s">
        <v>144</v>
      </c>
      <c r="E261" s="16" t="str">
        <f aca="false">HYPERLINK("https://www.google.com/maps/search/"&amp;SUBSTITUTE(C261&amp;" "&amp;D261&amp;" "&amp;A261," ","+"),"Open Maps")</f>
        <v>Open Maps</v>
      </c>
      <c r="F261" s="15" t="s">
        <v>184</v>
      </c>
      <c r="G261" s="15"/>
    </row>
    <row r="262" customFormat="false" ht="15" hidden="false" customHeight="false" outlineLevel="0" collapsed="false">
      <c r="A262" s="7" t="s">
        <v>40</v>
      </c>
      <c r="B262" s="7" t="s">
        <v>67</v>
      </c>
      <c r="C262" s="7" t="s">
        <v>73</v>
      </c>
      <c r="D262" s="7" t="s">
        <v>145</v>
      </c>
      <c r="E262" s="16" t="str">
        <f aca="false">HYPERLINK("https://www.google.com/maps/search/"&amp;SUBSTITUTE(C262&amp;" "&amp;D262&amp;" "&amp;A262," ","+"),"Open Maps")</f>
        <v>Open Maps</v>
      </c>
      <c r="F262" s="15" t="s">
        <v>184</v>
      </c>
      <c r="G262" s="15"/>
    </row>
    <row r="263" customFormat="false" ht="15" hidden="false" customHeight="false" outlineLevel="0" collapsed="false">
      <c r="A263" s="7" t="s">
        <v>40</v>
      </c>
      <c r="B263" s="7" t="s">
        <v>67</v>
      </c>
      <c r="C263" s="7" t="s">
        <v>73</v>
      </c>
      <c r="D263" s="7" t="s">
        <v>146</v>
      </c>
      <c r="E263" s="16" t="str">
        <f aca="false">HYPERLINK("https://www.google.com/maps/search/"&amp;SUBSTITUTE(C263&amp;" "&amp;D263&amp;" "&amp;A263," ","+"),"Open Maps")</f>
        <v>Open Maps</v>
      </c>
      <c r="F263" s="15" t="s">
        <v>184</v>
      </c>
      <c r="G263" s="15"/>
    </row>
    <row r="264" customFormat="false" ht="15" hidden="false" customHeight="false" outlineLevel="0" collapsed="false">
      <c r="A264" s="7" t="s">
        <v>40</v>
      </c>
      <c r="B264" s="7" t="s">
        <v>67</v>
      </c>
      <c r="C264" s="7" t="s">
        <v>73</v>
      </c>
      <c r="D264" s="7" t="s">
        <v>147</v>
      </c>
      <c r="E264" s="16" t="str">
        <f aca="false">HYPERLINK("https://www.google.com/maps/search/"&amp;SUBSTITUTE(C264&amp;" "&amp;D264&amp;" "&amp;A264," ","+"),"Open Maps")</f>
        <v>Open Maps</v>
      </c>
      <c r="F264" s="15" t="s">
        <v>184</v>
      </c>
      <c r="G264" s="15"/>
    </row>
    <row r="265" customFormat="false" ht="15" hidden="false" customHeight="false" outlineLevel="0" collapsed="false">
      <c r="A265" s="7" t="s">
        <v>40</v>
      </c>
      <c r="B265" s="7" t="s">
        <v>67</v>
      </c>
      <c r="C265" s="7" t="s">
        <v>92</v>
      </c>
      <c r="D265" s="7" t="s">
        <v>144</v>
      </c>
      <c r="E265" s="16" t="str">
        <f aca="false">HYPERLINK("https://www.google.com/maps/search/"&amp;SUBSTITUTE(C265&amp;" "&amp;D265&amp;" "&amp;A265," ","+"),"Open Maps")</f>
        <v>Open Maps</v>
      </c>
      <c r="F265" s="15" t="s">
        <v>184</v>
      </c>
      <c r="G265" s="15"/>
    </row>
    <row r="266" customFormat="false" ht="15" hidden="false" customHeight="false" outlineLevel="0" collapsed="false">
      <c r="A266" s="7" t="s">
        <v>40</v>
      </c>
      <c r="B266" s="7" t="s">
        <v>67</v>
      </c>
      <c r="C266" s="7" t="s">
        <v>92</v>
      </c>
      <c r="D266" s="7" t="s">
        <v>145</v>
      </c>
      <c r="E266" s="16" t="str">
        <f aca="false">HYPERLINK("https://www.google.com/maps/search/"&amp;SUBSTITUTE(C266&amp;" "&amp;D266&amp;" "&amp;A266," ","+"),"Open Maps")</f>
        <v>Open Maps</v>
      </c>
      <c r="F266" s="15" t="s">
        <v>184</v>
      </c>
      <c r="G266" s="15"/>
    </row>
    <row r="267" customFormat="false" ht="15" hidden="false" customHeight="false" outlineLevel="0" collapsed="false">
      <c r="A267" s="7" t="s">
        <v>40</v>
      </c>
      <c r="B267" s="7" t="s">
        <v>67</v>
      </c>
      <c r="C267" s="7" t="s">
        <v>92</v>
      </c>
      <c r="D267" s="7" t="s">
        <v>146</v>
      </c>
      <c r="E267" s="16" t="str">
        <f aca="false">HYPERLINK("https://www.google.com/maps/search/"&amp;SUBSTITUTE(C267&amp;" "&amp;D267&amp;" "&amp;A267," ","+"),"Open Maps")</f>
        <v>Open Maps</v>
      </c>
      <c r="F267" s="15" t="s">
        <v>184</v>
      </c>
      <c r="G267" s="15"/>
    </row>
    <row r="268" customFormat="false" ht="15" hidden="false" customHeight="false" outlineLevel="0" collapsed="false">
      <c r="A268" s="7" t="s">
        <v>40</v>
      </c>
      <c r="B268" s="7" t="s">
        <v>67</v>
      </c>
      <c r="C268" s="7" t="s">
        <v>92</v>
      </c>
      <c r="D268" s="7" t="s">
        <v>147</v>
      </c>
      <c r="E268" s="16" t="str">
        <f aca="false">HYPERLINK("https://www.google.com/maps/search/"&amp;SUBSTITUTE(C268&amp;" "&amp;D268&amp;" "&amp;A268," ","+"),"Open Maps")</f>
        <v>Open Maps</v>
      </c>
      <c r="F268" s="15" t="s">
        <v>184</v>
      </c>
      <c r="G268" s="15"/>
    </row>
    <row r="269" customFormat="false" ht="15" hidden="false" customHeight="false" outlineLevel="0" collapsed="false">
      <c r="A269" s="7" t="s">
        <v>40</v>
      </c>
      <c r="B269" s="7" t="s">
        <v>67</v>
      </c>
      <c r="C269" s="7" t="s">
        <v>93</v>
      </c>
      <c r="D269" s="7" t="s">
        <v>144</v>
      </c>
      <c r="E269" s="16" t="str">
        <f aca="false">HYPERLINK("https://www.google.com/maps/search/"&amp;SUBSTITUTE(C269&amp;" "&amp;D269&amp;" "&amp;A269," ","+"),"Open Maps")</f>
        <v>Open Maps</v>
      </c>
      <c r="F269" s="15" t="s">
        <v>184</v>
      </c>
      <c r="G269" s="15"/>
    </row>
    <row r="270" customFormat="false" ht="15" hidden="false" customHeight="false" outlineLevel="0" collapsed="false">
      <c r="A270" s="7" t="s">
        <v>40</v>
      </c>
      <c r="B270" s="7" t="s">
        <v>67</v>
      </c>
      <c r="C270" s="7" t="s">
        <v>93</v>
      </c>
      <c r="D270" s="7" t="s">
        <v>145</v>
      </c>
      <c r="E270" s="16" t="str">
        <f aca="false">HYPERLINK("https://www.google.com/maps/search/"&amp;SUBSTITUTE(C270&amp;" "&amp;D270&amp;" "&amp;A270," ","+"),"Open Maps")</f>
        <v>Open Maps</v>
      </c>
      <c r="F270" s="15" t="s">
        <v>184</v>
      </c>
      <c r="G270" s="15"/>
    </row>
    <row r="271" customFormat="false" ht="15" hidden="false" customHeight="false" outlineLevel="0" collapsed="false">
      <c r="A271" s="7" t="s">
        <v>40</v>
      </c>
      <c r="B271" s="7" t="s">
        <v>67</v>
      </c>
      <c r="C271" s="7" t="s">
        <v>93</v>
      </c>
      <c r="D271" s="7" t="s">
        <v>146</v>
      </c>
      <c r="E271" s="16" t="str">
        <f aca="false">HYPERLINK("https://www.google.com/maps/search/"&amp;SUBSTITUTE(C271&amp;" "&amp;D271&amp;" "&amp;A271," ","+"),"Open Maps")</f>
        <v>Open Maps</v>
      </c>
      <c r="F271" s="15" t="s">
        <v>184</v>
      </c>
      <c r="G271" s="15"/>
    </row>
    <row r="272" customFormat="false" ht="15" hidden="false" customHeight="false" outlineLevel="0" collapsed="false">
      <c r="A272" s="7" t="s">
        <v>40</v>
      </c>
      <c r="B272" s="7" t="s">
        <v>67</v>
      </c>
      <c r="C272" s="7" t="s">
        <v>93</v>
      </c>
      <c r="D272" s="7" t="s">
        <v>147</v>
      </c>
      <c r="E272" s="16" t="str">
        <f aca="false">HYPERLINK("https://www.google.com/maps/search/"&amp;SUBSTITUTE(C272&amp;" "&amp;D272&amp;" "&amp;A272," ","+"),"Open Maps")</f>
        <v>Open Maps</v>
      </c>
      <c r="F272" s="15" t="s">
        <v>184</v>
      </c>
      <c r="G272" s="15"/>
    </row>
    <row r="273" customFormat="false" ht="15" hidden="false" customHeight="false" outlineLevel="0" collapsed="false">
      <c r="A273" s="7" t="s">
        <v>40</v>
      </c>
      <c r="B273" s="7" t="s">
        <v>67</v>
      </c>
      <c r="C273" s="7" t="s">
        <v>94</v>
      </c>
      <c r="D273" s="7" t="s">
        <v>144</v>
      </c>
      <c r="E273" s="16" t="str">
        <f aca="false">HYPERLINK("https://www.google.com/maps/search/"&amp;SUBSTITUTE(C273&amp;" "&amp;D273&amp;" "&amp;A273," ","+"),"Open Maps")</f>
        <v>Open Maps</v>
      </c>
      <c r="F273" s="15" t="s">
        <v>184</v>
      </c>
      <c r="G273" s="15"/>
    </row>
    <row r="274" customFormat="false" ht="15" hidden="false" customHeight="false" outlineLevel="0" collapsed="false">
      <c r="A274" s="7" t="s">
        <v>40</v>
      </c>
      <c r="B274" s="7" t="s">
        <v>67</v>
      </c>
      <c r="C274" s="7" t="s">
        <v>94</v>
      </c>
      <c r="D274" s="7" t="s">
        <v>145</v>
      </c>
      <c r="E274" s="16" t="str">
        <f aca="false">HYPERLINK("https://www.google.com/maps/search/"&amp;SUBSTITUTE(C274&amp;" "&amp;D274&amp;" "&amp;A274," ","+"),"Open Maps")</f>
        <v>Open Maps</v>
      </c>
      <c r="F274" s="15" t="s">
        <v>184</v>
      </c>
      <c r="G274" s="15"/>
    </row>
    <row r="275" customFormat="false" ht="15" hidden="false" customHeight="false" outlineLevel="0" collapsed="false">
      <c r="A275" s="7" t="s">
        <v>40</v>
      </c>
      <c r="B275" s="7" t="s">
        <v>67</v>
      </c>
      <c r="C275" s="7" t="s">
        <v>94</v>
      </c>
      <c r="D275" s="7" t="s">
        <v>146</v>
      </c>
      <c r="E275" s="16" t="str">
        <f aca="false">HYPERLINK("https://www.google.com/maps/search/"&amp;SUBSTITUTE(C275&amp;" "&amp;D275&amp;" "&amp;A275," ","+"),"Open Maps")</f>
        <v>Open Maps</v>
      </c>
      <c r="F275" s="15" t="s">
        <v>184</v>
      </c>
      <c r="G275" s="15"/>
    </row>
    <row r="276" customFormat="false" ht="15" hidden="false" customHeight="false" outlineLevel="0" collapsed="false">
      <c r="A276" s="7" t="s">
        <v>40</v>
      </c>
      <c r="B276" s="7" t="s">
        <v>67</v>
      </c>
      <c r="C276" s="7" t="s">
        <v>94</v>
      </c>
      <c r="D276" s="7" t="s">
        <v>147</v>
      </c>
      <c r="E276" s="16" t="str">
        <f aca="false">HYPERLINK("https://www.google.com/maps/search/"&amp;SUBSTITUTE(C276&amp;" "&amp;D276&amp;" "&amp;A276," ","+"),"Open Maps")</f>
        <v>Open Maps</v>
      </c>
      <c r="F276" s="15" t="s">
        <v>184</v>
      </c>
      <c r="G276" s="15"/>
    </row>
    <row r="277" customFormat="false" ht="15" hidden="false" customHeight="false" outlineLevel="0" collapsed="false">
      <c r="A277" s="7" t="s">
        <v>40</v>
      </c>
      <c r="B277" s="7" t="s">
        <v>76</v>
      </c>
      <c r="C277" s="7" t="s">
        <v>77</v>
      </c>
      <c r="D277" s="7" t="s">
        <v>144</v>
      </c>
      <c r="E277" s="16" t="str">
        <f aca="false">HYPERLINK("https://www.google.com/maps/search/"&amp;SUBSTITUTE(C277&amp;" "&amp;D277&amp;" "&amp;A277," ","+"),"Open Maps")</f>
        <v>Open Maps</v>
      </c>
      <c r="F277" s="15" t="s">
        <v>184</v>
      </c>
      <c r="G277" s="15"/>
    </row>
    <row r="278" customFormat="false" ht="15" hidden="false" customHeight="false" outlineLevel="0" collapsed="false">
      <c r="A278" s="7" t="s">
        <v>40</v>
      </c>
      <c r="B278" s="7" t="s">
        <v>76</v>
      </c>
      <c r="C278" s="7" t="s">
        <v>77</v>
      </c>
      <c r="D278" s="7" t="s">
        <v>145</v>
      </c>
      <c r="E278" s="16" t="str">
        <f aca="false">HYPERLINK("https://www.google.com/maps/search/"&amp;SUBSTITUTE(C278&amp;" "&amp;D278&amp;" "&amp;A278," ","+"),"Open Maps")</f>
        <v>Open Maps</v>
      </c>
      <c r="F278" s="15" t="s">
        <v>184</v>
      </c>
      <c r="G278" s="15"/>
    </row>
    <row r="279" customFormat="false" ht="15" hidden="false" customHeight="false" outlineLevel="0" collapsed="false">
      <c r="A279" s="7" t="s">
        <v>40</v>
      </c>
      <c r="B279" s="7" t="s">
        <v>76</v>
      </c>
      <c r="C279" s="7" t="s">
        <v>77</v>
      </c>
      <c r="D279" s="7" t="s">
        <v>146</v>
      </c>
      <c r="E279" s="16" t="str">
        <f aca="false">HYPERLINK("https://www.google.com/maps/search/"&amp;SUBSTITUTE(C279&amp;" "&amp;D279&amp;" "&amp;A279," ","+"),"Open Maps")</f>
        <v>Open Maps</v>
      </c>
      <c r="F279" s="15" t="s">
        <v>184</v>
      </c>
      <c r="G279" s="15"/>
    </row>
    <row r="280" customFormat="false" ht="15" hidden="false" customHeight="false" outlineLevel="0" collapsed="false">
      <c r="A280" s="7" t="s">
        <v>40</v>
      </c>
      <c r="B280" s="7" t="s">
        <v>76</v>
      </c>
      <c r="C280" s="7" t="s">
        <v>77</v>
      </c>
      <c r="D280" s="7" t="s">
        <v>147</v>
      </c>
      <c r="E280" s="16" t="str">
        <f aca="false">HYPERLINK("https://www.google.com/maps/search/"&amp;SUBSTITUTE(C280&amp;" "&amp;D280&amp;" "&amp;A280," ","+"),"Open Maps")</f>
        <v>Open Maps</v>
      </c>
      <c r="F280" s="15" t="s">
        <v>184</v>
      </c>
      <c r="G280" s="15"/>
    </row>
    <row r="281" customFormat="false" ht="15" hidden="false" customHeight="false" outlineLevel="0" collapsed="false">
      <c r="A281" s="7" t="s">
        <v>42</v>
      </c>
      <c r="B281" s="7" t="s">
        <v>64</v>
      </c>
      <c r="C281" s="7" t="s">
        <v>103</v>
      </c>
      <c r="D281" s="7" t="s">
        <v>148</v>
      </c>
      <c r="E281" s="16" t="str">
        <f aca="false">HYPERLINK("https://www.google.com/maps/search/"&amp;SUBSTITUTE(C281&amp;" "&amp;D281&amp;" "&amp;A281," ","+"),"Open Maps")</f>
        <v>Open Maps</v>
      </c>
      <c r="F281" s="15" t="s">
        <v>184</v>
      </c>
      <c r="G281" s="15"/>
    </row>
    <row r="282" customFormat="false" ht="15" hidden="false" customHeight="false" outlineLevel="0" collapsed="false">
      <c r="A282" s="7" t="s">
        <v>42</v>
      </c>
      <c r="B282" s="7" t="s">
        <v>64</v>
      </c>
      <c r="C282" s="7" t="s">
        <v>103</v>
      </c>
      <c r="D282" s="7" t="s">
        <v>149</v>
      </c>
      <c r="E282" s="16" t="str">
        <f aca="false">HYPERLINK("https://www.google.com/maps/search/"&amp;SUBSTITUTE(C282&amp;" "&amp;D282&amp;" "&amp;A282," ","+"),"Open Maps")</f>
        <v>Open Maps</v>
      </c>
      <c r="F282" s="15" t="s">
        <v>184</v>
      </c>
      <c r="G282" s="15"/>
    </row>
    <row r="283" customFormat="false" ht="15" hidden="false" customHeight="false" outlineLevel="0" collapsed="false">
      <c r="A283" s="7" t="s">
        <v>42</v>
      </c>
      <c r="B283" s="7" t="s">
        <v>64</v>
      </c>
      <c r="C283" s="7" t="s">
        <v>103</v>
      </c>
      <c r="D283" s="7" t="s">
        <v>150</v>
      </c>
      <c r="E283" s="16" t="str">
        <f aca="false">HYPERLINK("https://www.google.com/maps/search/"&amp;SUBSTITUTE(C283&amp;" "&amp;D283&amp;" "&amp;A283," ","+"),"Open Maps")</f>
        <v>Open Maps</v>
      </c>
      <c r="F283" s="15" t="s">
        <v>184</v>
      </c>
      <c r="G283" s="15"/>
    </row>
    <row r="284" customFormat="false" ht="15" hidden="false" customHeight="false" outlineLevel="0" collapsed="false">
      <c r="A284" s="7" t="s">
        <v>42</v>
      </c>
      <c r="B284" s="7" t="s">
        <v>64</v>
      </c>
      <c r="C284" s="7" t="s">
        <v>103</v>
      </c>
      <c r="D284" s="7" t="s">
        <v>151</v>
      </c>
      <c r="E284" s="16" t="str">
        <f aca="false">HYPERLINK("https://www.google.com/maps/search/"&amp;SUBSTITUTE(C284&amp;" "&amp;D284&amp;" "&amp;A284," ","+"),"Open Maps")</f>
        <v>Open Maps</v>
      </c>
      <c r="F284" s="15" t="s">
        <v>184</v>
      </c>
      <c r="G284" s="15"/>
    </row>
    <row r="285" customFormat="false" ht="15" hidden="false" customHeight="false" outlineLevel="0" collapsed="false">
      <c r="A285" s="7" t="s">
        <v>42</v>
      </c>
      <c r="B285" s="7" t="s">
        <v>64</v>
      </c>
      <c r="C285" s="7" t="s">
        <v>79</v>
      </c>
      <c r="D285" s="7" t="s">
        <v>148</v>
      </c>
      <c r="E285" s="16" t="str">
        <f aca="false">HYPERLINK("https://www.google.com/maps/search/"&amp;SUBSTITUTE(C285&amp;" "&amp;D285&amp;" "&amp;A285," ","+"),"Open Maps")</f>
        <v>Open Maps</v>
      </c>
      <c r="F285" s="15" t="s">
        <v>184</v>
      </c>
      <c r="G285" s="15"/>
    </row>
    <row r="286" customFormat="false" ht="15" hidden="false" customHeight="false" outlineLevel="0" collapsed="false">
      <c r="A286" s="7" t="s">
        <v>42</v>
      </c>
      <c r="B286" s="7" t="s">
        <v>64</v>
      </c>
      <c r="C286" s="7" t="s">
        <v>79</v>
      </c>
      <c r="D286" s="7" t="s">
        <v>149</v>
      </c>
      <c r="E286" s="16" t="str">
        <f aca="false">HYPERLINK("https://www.google.com/maps/search/"&amp;SUBSTITUTE(C286&amp;" "&amp;D286&amp;" "&amp;A286," ","+"),"Open Maps")</f>
        <v>Open Maps</v>
      </c>
      <c r="F286" s="15" t="s">
        <v>184</v>
      </c>
      <c r="G286" s="15"/>
    </row>
    <row r="287" customFormat="false" ht="15" hidden="false" customHeight="false" outlineLevel="0" collapsed="false">
      <c r="A287" s="7" t="s">
        <v>42</v>
      </c>
      <c r="B287" s="7" t="s">
        <v>64</v>
      </c>
      <c r="C287" s="7" t="s">
        <v>79</v>
      </c>
      <c r="D287" s="7" t="s">
        <v>150</v>
      </c>
      <c r="E287" s="16" t="str">
        <f aca="false">HYPERLINK("https://www.google.com/maps/search/"&amp;SUBSTITUTE(C287&amp;" "&amp;D287&amp;" "&amp;A287," ","+"),"Open Maps")</f>
        <v>Open Maps</v>
      </c>
      <c r="F287" s="15" t="s">
        <v>184</v>
      </c>
      <c r="G287" s="15"/>
    </row>
    <row r="288" customFormat="false" ht="15" hidden="false" customHeight="false" outlineLevel="0" collapsed="false">
      <c r="A288" s="7" t="s">
        <v>42</v>
      </c>
      <c r="B288" s="7" t="s">
        <v>64</v>
      </c>
      <c r="C288" s="7" t="s">
        <v>79</v>
      </c>
      <c r="D288" s="7" t="s">
        <v>151</v>
      </c>
      <c r="E288" s="16" t="str">
        <f aca="false">HYPERLINK("https://www.google.com/maps/search/"&amp;SUBSTITUTE(C288&amp;" "&amp;D288&amp;" "&amp;A288," ","+"),"Open Maps")</f>
        <v>Open Maps</v>
      </c>
      <c r="F288" s="15" t="s">
        <v>184</v>
      </c>
      <c r="G288" s="15"/>
    </row>
    <row r="289" customFormat="false" ht="15" hidden="false" customHeight="false" outlineLevel="0" collapsed="false">
      <c r="A289" s="7" t="s">
        <v>42</v>
      </c>
      <c r="B289" s="7" t="s">
        <v>67</v>
      </c>
      <c r="C289" s="7" t="s">
        <v>104</v>
      </c>
      <c r="D289" s="7" t="s">
        <v>148</v>
      </c>
      <c r="E289" s="16" t="str">
        <f aca="false">HYPERLINK("https://www.google.com/maps/search/"&amp;SUBSTITUTE(C289&amp;" "&amp;D289&amp;" "&amp;A289," ","+"),"Open Maps")</f>
        <v>Open Maps</v>
      </c>
      <c r="F289" s="15" t="s">
        <v>184</v>
      </c>
      <c r="G289" s="15"/>
    </row>
    <row r="290" customFormat="false" ht="15" hidden="false" customHeight="false" outlineLevel="0" collapsed="false">
      <c r="A290" s="7" t="s">
        <v>42</v>
      </c>
      <c r="B290" s="7" t="s">
        <v>67</v>
      </c>
      <c r="C290" s="7" t="s">
        <v>104</v>
      </c>
      <c r="D290" s="7" t="s">
        <v>149</v>
      </c>
      <c r="E290" s="16" t="str">
        <f aca="false">HYPERLINK("https://www.google.com/maps/search/"&amp;SUBSTITUTE(C290&amp;" "&amp;D290&amp;" "&amp;A290," ","+"),"Open Maps")</f>
        <v>Open Maps</v>
      </c>
      <c r="F290" s="15" t="s">
        <v>184</v>
      </c>
      <c r="G290" s="15"/>
    </row>
    <row r="291" customFormat="false" ht="15" hidden="false" customHeight="false" outlineLevel="0" collapsed="false">
      <c r="A291" s="7" t="s">
        <v>42</v>
      </c>
      <c r="B291" s="7" t="s">
        <v>67</v>
      </c>
      <c r="C291" s="7" t="s">
        <v>104</v>
      </c>
      <c r="D291" s="7" t="s">
        <v>150</v>
      </c>
      <c r="E291" s="16" t="str">
        <f aca="false">HYPERLINK("https://www.google.com/maps/search/"&amp;SUBSTITUTE(C291&amp;" "&amp;D291&amp;" "&amp;A291," ","+"),"Open Maps")</f>
        <v>Open Maps</v>
      </c>
      <c r="F291" s="15" t="s">
        <v>184</v>
      </c>
      <c r="G291" s="15"/>
    </row>
    <row r="292" customFormat="false" ht="15" hidden="false" customHeight="false" outlineLevel="0" collapsed="false">
      <c r="A292" s="7" t="s">
        <v>42</v>
      </c>
      <c r="B292" s="7" t="s">
        <v>67</v>
      </c>
      <c r="C292" s="7" t="s">
        <v>104</v>
      </c>
      <c r="D292" s="7" t="s">
        <v>151</v>
      </c>
      <c r="E292" s="16" t="str">
        <f aca="false">HYPERLINK("https://www.google.com/maps/search/"&amp;SUBSTITUTE(C292&amp;" "&amp;D292&amp;" "&amp;A292," ","+"),"Open Maps")</f>
        <v>Open Maps</v>
      </c>
      <c r="F292" s="15" t="s">
        <v>184</v>
      </c>
      <c r="G292" s="15"/>
    </row>
    <row r="293" customFormat="false" ht="15" hidden="false" customHeight="false" outlineLevel="0" collapsed="false">
      <c r="A293" s="7" t="s">
        <v>42</v>
      </c>
      <c r="B293" s="7" t="s">
        <v>67</v>
      </c>
      <c r="C293" s="7" t="s">
        <v>105</v>
      </c>
      <c r="D293" s="7" t="s">
        <v>148</v>
      </c>
      <c r="E293" s="16" t="str">
        <f aca="false">HYPERLINK("https://www.google.com/maps/search/"&amp;SUBSTITUTE(C293&amp;" "&amp;D293&amp;" "&amp;A293," ","+"),"Open Maps")</f>
        <v>Open Maps</v>
      </c>
      <c r="F293" s="15" t="s">
        <v>184</v>
      </c>
      <c r="G293" s="15"/>
    </row>
    <row r="294" customFormat="false" ht="15" hidden="false" customHeight="false" outlineLevel="0" collapsed="false">
      <c r="A294" s="7" t="s">
        <v>42</v>
      </c>
      <c r="B294" s="7" t="s">
        <v>67</v>
      </c>
      <c r="C294" s="7" t="s">
        <v>105</v>
      </c>
      <c r="D294" s="7" t="s">
        <v>149</v>
      </c>
      <c r="E294" s="16" t="str">
        <f aca="false">HYPERLINK("https://www.google.com/maps/search/"&amp;SUBSTITUTE(C294&amp;" "&amp;D294&amp;" "&amp;A294," ","+"),"Open Maps")</f>
        <v>Open Maps</v>
      </c>
      <c r="F294" s="15" t="s">
        <v>184</v>
      </c>
      <c r="G294" s="15"/>
    </row>
    <row r="295" customFormat="false" ht="15" hidden="false" customHeight="false" outlineLevel="0" collapsed="false">
      <c r="A295" s="7" t="s">
        <v>42</v>
      </c>
      <c r="B295" s="7" t="s">
        <v>67</v>
      </c>
      <c r="C295" s="7" t="s">
        <v>105</v>
      </c>
      <c r="D295" s="7" t="s">
        <v>150</v>
      </c>
      <c r="E295" s="16" t="str">
        <f aca="false">HYPERLINK("https://www.google.com/maps/search/"&amp;SUBSTITUTE(C295&amp;" "&amp;D295&amp;" "&amp;A295," ","+"),"Open Maps")</f>
        <v>Open Maps</v>
      </c>
      <c r="F295" s="15" t="s">
        <v>184</v>
      </c>
      <c r="G295" s="15"/>
    </row>
    <row r="296" customFormat="false" ht="15" hidden="false" customHeight="false" outlineLevel="0" collapsed="false">
      <c r="A296" s="7" t="s">
        <v>42</v>
      </c>
      <c r="B296" s="7" t="s">
        <v>67</v>
      </c>
      <c r="C296" s="7" t="s">
        <v>105</v>
      </c>
      <c r="D296" s="7" t="s">
        <v>151</v>
      </c>
      <c r="E296" s="16" t="str">
        <f aca="false">HYPERLINK("https://www.google.com/maps/search/"&amp;SUBSTITUTE(C296&amp;" "&amp;D296&amp;" "&amp;A296," ","+"),"Open Maps")</f>
        <v>Open Maps</v>
      </c>
      <c r="F296" s="15" t="s">
        <v>184</v>
      </c>
      <c r="G296" s="15"/>
    </row>
    <row r="297" customFormat="false" ht="15" hidden="false" customHeight="false" outlineLevel="0" collapsed="false">
      <c r="A297" s="7" t="s">
        <v>42</v>
      </c>
      <c r="B297" s="7" t="s">
        <v>67</v>
      </c>
      <c r="C297" s="7" t="s">
        <v>106</v>
      </c>
      <c r="D297" s="7" t="s">
        <v>148</v>
      </c>
      <c r="E297" s="16" t="str">
        <f aca="false">HYPERLINK("https://www.google.com/maps/search/"&amp;SUBSTITUTE(C297&amp;" "&amp;D297&amp;" "&amp;A297," ","+"),"Open Maps")</f>
        <v>Open Maps</v>
      </c>
      <c r="F297" s="15" t="s">
        <v>184</v>
      </c>
      <c r="G297" s="15"/>
    </row>
    <row r="298" customFormat="false" ht="15" hidden="false" customHeight="false" outlineLevel="0" collapsed="false">
      <c r="A298" s="7" t="s">
        <v>42</v>
      </c>
      <c r="B298" s="7" t="s">
        <v>67</v>
      </c>
      <c r="C298" s="7" t="s">
        <v>106</v>
      </c>
      <c r="D298" s="7" t="s">
        <v>149</v>
      </c>
      <c r="E298" s="16" t="str">
        <f aca="false">HYPERLINK("https://www.google.com/maps/search/"&amp;SUBSTITUTE(C298&amp;" "&amp;D298&amp;" "&amp;A298," ","+"),"Open Maps")</f>
        <v>Open Maps</v>
      </c>
      <c r="F298" s="15" t="s">
        <v>184</v>
      </c>
      <c r="G298" s="15"/>
    </row>
    <row r="299" customFormat="false" ht="15" hidden="false" customHeight="false" outlineLevel="0" collapsed="false">
      <c r="A299" s="7" t="s">
        <v>42</v>
      </c>
      <c r="B299" s="7" t="s">
        <v>67</v>
      </c>
      <c r="C299" s="7" t="s">
        <v>106</v>
      </c>
      <c r="D299" s="7" t="s">
        <v>150</v>
      </c>
      <c r="E299" s="16" t="str">
        <f aca="false">HYPERLINK("https://www.google.com/maps/search/"&amp;SUBSTITUTE(C299&amp;" "&amp;D299&amp;" "&amp;A299," ","+"),"Open Maps")</f>
        <v>Open Maps</v>
      </c>
      <c r="F299" s="15" t="s">
        <v>184</v>
      </c>
      <c r="G299" s="15"/>
    </row>
    <row r="300" customFormat="false" ht="15" hidden="false" customHeight="false" outlineLevel="0" collapsed="false">
      <c r="A300" s="7" t="s">
        <v>42</v>
      </c>
      <c r="B300" s="7" t="s">
        <v>67</v>
      </c>
      <c r="C300" s="7" t="s">
        <v>106</v>
      </c>
      <c r="D300" s="7" t="s">
        <v>151</v>
      </c>
      <c r="E300" s="16" t="str">
        <f aca="false">HYPERLINK("https://www.google.com/maps/search/"&amp;SUBSTITUTE(C300&amp;" "&amp;D300&amp;" "&amp;A300," ","+"),"Open Maps")</f>
        <v>Open Maps</v>
      </c>
      <c r="F300" s="15" t="s">
        <v>184</v>
      </c>
      <c r="G300" s="15"/>
    </row>
    <row r="301" customFormat="false" ht="15" hidden="false" customHeight="false" outlineLevel="0" collapsed="false">
      <c r="A301" s="7" t="s">
        <v>42</v>
      </c>
      <c r="B301" s="7" t="s">
        <v>67</v>
      </c>
      <c r="C301" s="7" t="s">
        <v>107</v>
      </c>
      <c r="D301" s="7" t="s">
        <v>148</v>
      </c>
      <c r="E301" s="16" t="str">
        <f aca="false">HYPERLINK("https://www.google.com/maps/search/"&amp;SUBSTITUTE(C301&amp;" "&amp;D301&amp;" "&amp;A301," ","+"),"Open Maps")</f>
        <v>Open Maps</v>
      </c>
      <c r="F301" s="15" t="s">
        <v>184</v>
      </c>
      <c r="G301" s="15"/>
    </row>
    <row r="302" customFormat="false" ht="15" hidden="false" customHeight="false" outlineLevel="0" collapsed="false">
      <c r="A302" s="7" t="s">
        <v>42</v>
      </c>
      <c r="B302" s="7" t="s">
        <v>67</v>
      </c>
      <c r="C302" s="7" t="s">
        <v>107</v>
      </c>
      <c r="D302" s="7" t="s">
        <v>149</v>
      </c>
      <c r="E302" s="16" t="str">
        <f aca="false">HYPERLINK("https://www.google.com/maps/search/"&amp;SUBSTITUTE(C302&amp;" "&amp;D302&amp;" "&amp;A302," ","+"),"Open Maps")</f>
        <v>Open Maps</v>
      </c>
      <c r="F302" s="15" t="s">
        <v>184</v>
      </c>
      <c r="G302" s="15"/>
    </row>
    <row r="303" customFormat="false" ht="15" hidden="false" customHeight="false" outlineLevel="0" collapsed="false">
      <c r="A303" s="7" t="s">
        <v>42</v>
      </c>
      <c r="B303" s="7" t="s">
        <v>67</v>
      </c>
      <c r="C303" s="7" t="s">
        <v>107</v>
      </c>
      <c r="D303" s="7" t="s">
        <v>150</v>
      </c>
      <c r="E303" s="16" t="str">
        <f aca="false">HYPERLINK("https://www.google.com/maps/search/"&amp;SUBSTITUTE(C303&amp;" "&amp;D303&amp;" "&amp;A303," ","+"),"Open Maps")</f>
        <v>Open Maps</v>
      </c>
      <c r="F303" s="15" t="s">
        <v>184</v>
      </c>
      <c r="G303" s="15"/>
    </row>
    <row r="304" customFormat="false" ht="15" hidden="false" customHeight="false" outlineLevel="0" collapsed="false">
      <c r="A304" s="7" t="s">
        <v>42</v>
      </c>
      <c r="B304" s="7" t="s">
        <v>67</v>
      </c>
      <c r="C304" s="7" t="s">
        <v>107</v>
      </c>
      <c r="D304" s="7" t="s">
        <v>151</v>
      </c>
      <c r="E304" s="16" t="str">
        <f aca="false">HYPERLINK("https://www.google.com/maps/search/"&amp;SUBSTITUTE(C304&amp;" "&amp;D304&amp;" "&amp;A304," ","+"),"Open Maps")</f>
        <v>Open Maps</v>
      </c>
      <c r="F304" s="15" t="s">
        <v>184</v>
      </c>
      <c r="G304" s="15"/>
    </row>
    <row r="305" customFormat="false" ht="15" hidden="false" customHeight="false" outlineLevel="0" collapsed="false">
      <c r="A305" s="7" t="s">
        <v>42</v>
      </c>
      <c r="B305" s="7" t="s">
        <v>67</v>
      </c>
      <c r="C305" s="7" t="s">
        <v>108</v>
      </c>
      <c r="D305" s="7" t="s">
        <v>148</v>
      </c>
      <c r="E305" s="16" t="str">
        <f aca="false">HYPERLINK("https://www.google.com/maps/search/"&amp;SUBSTITUTE(C305&amp;" "&amp;D305&amp;" "&amp;A305," ","+"),"Open Maps")</f>
        <v>Open Maps</v>
      </c>
      <c r="F305" s="15" t="s">
        <v>184</v>
      </c>
      <c r="G305" s="15"/>
    </row>
    <row r="306" customFormat="false" ht="15" hidden="false" customHeight="false" outlineLevel="0" collapsed="false">
      <c r="A306" s="7" t="s">
        <v>42</v>
      </c>
      <c r="B306" s="7" t="s">
        <v>67</v>
      </c>
      <c r="C306" s="7" t="s">
        <v>108</v>
      </c>
      <c r="D306" s="7" t="s">
        <v>149</v>
      </c>
      <c r="E306" s="16" t="str">
        <f aca="false">HYPERLINK("https://www.google.com/maps/search/"&amp;SUBSTITUTE(C306&amp;" "&amp;D306&amp;" "&amp;A306," ","+"),"Open Maps")</f>
        <v>Open Maps</v>
      </c>
      <c r="F306" s="15" t="s">
        <v>184</v>
      </c>
      <c r="G306" s="15"/>
    </row>
    <row r="307" customFormat="false" ht="15" hidden="false" customHeight="false" outlineLevel="0" collapsed="false">
      <c r="A307" s="7" t="s">
        <v>42</v>
      </c>
      <c r="B307" s="7" t="s">
        <v>67</v>
      </c>
      <c r="C307" s="7" t="s">
        <v>108</v>
      </c>
      <c r="D307" s="7" t="s">
        <v>150</v>
      </c>
      <c r="E307" s="16" t="str">
        <f aca="false">HYPERLINK("https://www.google.com/maps/search/"&amp;SUBSTITUTE(C307&amp;" "&amp;D307&amp;" "&amp;A307," ","+"),"Open Maps")</f>
        <v>Open Maps</v>
      </c>
      <c r="F307" s="15" t="s">
        <v>184</v>
      </c>
      <c r="G307" s="15"/>
    </row>
    <row r="308" customFormat="false" ht="15" hidden="false" customHeight="false" outlineLevel="0" collapsed="false">
      <c r="A308" s="7" t="s">
        <v>42</v>
      </c>
      <c r="B308" s="7" t="s">
        <v>67</v>
      </c>
      <c r="C308" s="7" t="s">
        <v>108</v>
      </c>
      <c r="D308" s="7" t="s">
        <v>151</v>
      </c>
      <c r="E308" s="16" t="str">
        <f aca="false">HYPERLINK("https://www.google.com/maps/search/"&amp;SUBSTITUTE(C308&amp;" "&amp;D308&amp;" "&amp;A308," ","+"),"Open Maps")</f>
        <v>Open Maps</v>
      </c>
      <c r="F308" s="15" t="s">
        <v>184</v>
      </c>
      <c r="G308" s="15"/>
    </row>
    <row r="309" customFormat="false" ht="15" hidden="false" customHeight="false" outlineLevel="0" collapsed="false">
      <c r="A309" s="7" t="s">
        <v>42</v>
      </c>
      <c r="B309" s="7" t="s">
        <v>67</v>
      </c>
      <c r="C309" s="7" t="s">
        <v>109</v>
      </c>
      <c r="D309" s="7" t="s">
        <v>148</v>
      </c>
      <c r="E309" s="16" t="str">
        <f aca="false">HYPERLINK("https://www.google.com/maps/search/"&amp;SUBSTITUTE(C309&amp;" "&amp;D309&amp;" "&amp;A309," ","+"),"Open Maps")</f>
        <v>Open Maps</v>
      </c>
      <c r="F309" s="15" t="s">
        <v>184</v>
      </c>
      <c r="G309" s="15"/>
    </row>
    <row r="310" customFormat="false" ht="15" hidden="false" customHeight="false" outlineLevel="0" collapsed="false">
      <c r="A310" s="7" t="s">
        <v>42</v>
      </c>
      <c r="B310" s="7" t="s">
        <v>67</v>
      </c>
      <c r="C310" s="7" t="s">
        <v>109</v>
      </c>
      <c r="D310" s="7" t="s">
        <v>149</v>
      </c>
      <c r="E310" s="16" t="str">
        <f aca="false">HYPERLINK("https://www.google.com/maps/search/"&amp;SUBSTITUTE(C310&amp;" "&amp;D310&amp;" "&amp;A310," ","+"),"Open Maps")</f>
        <v>Open Maps</v>
      </c>
      <c r="F310" s="15" t="s">
        <v>184</v>
      </c>
      <c r="G310" s="15"/>
    </row>
    <row r="311" customFormat="false" ht="15" hidden="false" customHeight="false" outlineLevel="0" collapsed="false">
      <c r="A311" s="7" t="s">
        <v>42</v>
      </c>
      <c r="B311" s="7" t="s">
        <v>67</v>
      </c>
      <c r="C311" s="7" t="s">
        <v>109</v>
      </c>
      <c r="D311" s="7" t="s">
        <v>150</v>
      </c>
      <c r="E311" s="16" t="str">
        <f aca="false">HYPERLINK("https://www.google.com/maps/search/"&amp;SUBSTITUTE(C311&amp;" "&amp;D311&amp;" "&amp;A311," ","+"),"Open Maps")</f>
        <v>Open Maps</v>
      </c>
      <c r="F311" s="15" t="s">
        <v>184</v>
      </c>
      <c r="G311" s="15"/>
    </row>
    <row r="312" customFormat="false" ht="15" hidden="false" customHeight="false" outlineLevel="0" collapsed="false">
      <c r="A312" s="7" t="s">
        <v>42</v>
      </c>
      <c r="B312" s="7" t="s">
        <v>67</v>
      </c>
      <c r="C312" s="7" t="s">
        <v>109</v>
      </c>
      <c r="D312" s="7" t="s">
        <v>151</v>
      </c>
      <c r="E312" s="16" t="str">
        <f aca="false">HYPERLINK("https://www.google.com/maps/search/"&amp;SUBSTITUTE(C312&amp;" "&amp;D312&amp;" "&amp;A312," ","+"),"Open Maps")</f>
        <v>Open Maps</v>
      </c>
      <c r="F312" s="15" t="s">
        <v>184</v>
      </c>
      <c r="G312" s="15"/>
    </row>
    <row r="313" customFormat="false" ht="15" hidden="false" customHeight="false" outlineLevel="0" collapsed="false">
      <c r="A313" s="7" t="s">
        <v>42</v>
      </c>
      <c r="B313" s="7" t="s">
        <v>67</v>
      </c>
      <c r="C313" s="7" t="s">
        <v>110</v>
      </c>
      <c r="D313" s="7" t="s">
        <v>148</v>
      </c>
      <c r="E313" s="16" t="str">
        <f aca="false">HYPERLINK("https://www.google.com/maps/search/"&amp;SUBSTITUTE(C313&amp;" "&amp;D313&amp;" "&amp;A313," ","+"),"Open Maps")</f>
        <v>Open Maps</v>
      </c>
      <c r="F313" s="15" t="s">
        <v>184</v>
      </c>
      <c r="G313" s="15"/>
    </row>
    <row r="314" customFormat="false" ht="15" hidden="false" customHeight="false" outlineLevel="0" collapsed="false">
      <c r="A314" s="7" t="s">
        <v>42</v>
      </c>
      <c r="B314" s="7" t="s">
        <v>67</v>
      </c>
      <c r="C314" s="7" t="s">
        <v>110</v>
      </c>
      <c r="D314" s="7" t="s">
        <v>149</v>
      </c>
      <c r="E314" s="16" t="str">
        <f aca="false">HYPERLINK("https://www.google.com/maps/search/"&amp;SUBSTITUTE(C314&amp;" "&amp;D314&amp;" "&amp;A314," ","+"),"Open Maps")</f>
        <v>Open Maps</v>
      </c>
      <c r="F314" s="15" t="s">
        <v>184</v>
      </c>
      <c r="G314" s="15"/>
    </row>
    <row r="315" customFormat="false" ht="15" hidden="false" customHeight="false" outlineLevel="0" collapsed="false">
      <c r="A315" s="7" t="s">
        <v>42</v>
      </c>
      <c r="B315" s="7" t="s">
        <v>67</v>
      </c>
      <c r="C315" s="7" t="s">
        <v>110</v>
      </c>
      <c r="D315" s="7" t="s">
        <v>150</v>
      </c>
      <c r="E315" s="16" t="str">
        <f aca="false">HYPERLINK("https://www.google.com/maps/search/"&amp;SUBSTITUTE(C315&amp;" "&amp;D315&amp;" "&amp;A315," ","+"),"Open Maps")</f>
        <v>Open Maps</v>
      </c>
      <c r="F315" s="15" t="s">
        <v>184</v>
      </c>
      <c r="G315" s="15"/>
    </row>
    <row r="316" customFormat="false" ht="15" hidden="false" customHeight="false" outlineLevel="0" collapsed="false">
      <c r="A316" s="7" t="s">
        <v>42</v>
      </c>
      <c r="B316" s="7" t="s">
        <v>67</v>
      </c>
      <c r="C316" s="7" t="s">
        <v>110</v>
      </c>
      <c r="D316" s="7" t="s">
        <v>151</v>
      </c>
      <c r="E316" s="16" t="str">
        <f aca="false">HYPERLINK("https://www.google.com/maps/search/"&amp;SUBSTITUTE(C316&amp;" "&amp;D316&amp;" "&amp;A316," ","+"),"Open Maps")</f>
        <v>Open Maps</v>
      </c>
      <c r="F316" s="15" t="s">
        <v>184</v>
      </c>
      <c r="G316" s="15"/>
    </row>
    <row r="317" customFormat="false" ht="15" hidden="false" customHeight="false" outlineLevel="0" collapsed="false">
      <c r="A317" s="7" t="s">
        <v>42</v>
      </c>
      <c r="B317" s="7" t="s">
        <v>67</v>
      </c>
      <c r="C317" s="7" t="s">
        <v>80</v>
      </c>
      <c r="D317" s="7" t="s">
        <v>148</v>
      </c>
      <c r="E317" s="16" t="str">
        <f aca="false">HYPERLINK("https://www.google.com/maps/search/"&amp;SUBSTITUTE(C317&amp;" "&amp;D317&amp;" "&amp;A317," ","+"),"Open Maps")</f>
        <v>Open Maps</v>
      </c>
      <c r="F317" s="15" t="s">
        <v>184</v>
      </c>
      <c r="G317" s="15"/>
    </row>
    <row r="318" customFormat="false" ht="15" hidden="false" customHeight="false" outlineLevel="0" collapsed="false">
      <c r="A318" s="7" t="s">
        <v>42</v>
      </c>
      <c r="B318" s="7" t="s">
        <v>67</v>
      </c>
      <c r="C318" s="7" t="s">
        <v>80</v>
      </c>
      <c r="D318" s="7" t="s">
        <v>149</v>
      </c>
      <c r="E318" s="16" t="str">
        <f aca="false">HYPERLINK("https://www.google.com/maps/search/"&amp;SUBSTITUTE(C318&amp;" "&amp;D318&amp;" "&amp;A318," ","+"),"Open Maps")</f>
        <v>Open Maps</v>
      </c>
      <c r="F318" s="15" t="s">
        <v>184</v>
      </c>
      <c r="G318" s="15"/>
    </row>
    <row r="319" customFormat="false" ht="15" hidden="false" customHeight="false" outlineLevel="0" collapsed="false">
      <c r="A319" s="7" t="s">
        <v>42</v>
      </c>
      <c r="B319" s="7" t="s">
        <v>67</v>
      </c>
      <c r="C319" s="7" t="s">
        <v>80</v>
      </c>
      <c r="D319" s="7" t="s">
        <v>150</v>
      </c>
      <c r="E319" s="16" t="str">
        <f aca="false">HYPERLINK("https://www.google.com/maps/search/"&amp;SUBSTITUTE(C319&amp;" "&amp;D319&amp;" "&amp;A319," ","+"),"Open Maps")</f>
        <v>Open Maps</v>
      </c>
      <c r="F319" s="15" t="s">
        <v>184</v>
      </c>
      <c r="G319" s="15"/>
    </row>
    <row r="320" customFormat="false" ht="15" hidden="false" customHeight="false" outlineLevel="0" collapsed="false">
      <c r="A320" s="7" t="s">
        <v>42</v>
      </c>
      <c r="B320" s="7" t="s">
        <v>67</v>
      </c>
      <c r="C320" s="7" t="s">
        <v>80</v>
      </c>
      <c r="D320" s="7" t="s">
        <v>151</v>
      </c>
      <c r="E320" s="16" t="str">
        <f aca="false">HYPERLINK("https://www.google.com/maps/search/"&amp;SUBSTITUTE(C320&amp;" "&amp;D320&amp;" "&amp;A320," ","+"),"Open Maps")</f>
        <v>Open Maps</v>
      </c>
      <c r="F320" s="15" t="s">
        <v>184</v>
      </c>
      <c r="G320" s="15"/>
    </row>
    <row r="321" customFormat="false" ht="15" hidden="false" customHeight="false" outlineLevel="0" collapsed="false">
      <c r="A321" s="7" t="s">
        <v>42</v>
      </c>
      <c r="B321" s="7" t="s">
        <v>67</v>
      </c>
      <c r="C321" s="7" t="s">
        <v>81</v>
      </c>
      <c r="D321" s="7" t="s">
        <v>148</v>
      </c>
      <c r="E321" s="16" t="str">
        <f aca="false">HYPERLINK("https://www.google.com/maps/search/"&amp;SUBSTITUTE(C321&amp;" "&amp;D321&amp;" "&amp;A321," ","+"),"Open Maps")</f>
        <v>Open Maps</v>
      </c>
      <c r="F321" s="15" t="s">
        <v>184</v>
      </c>
      <c r="G321" s="15"/>
    </row>
    <row r="322" customFormat="false" ht="15" hidden="false" customHeight="false" outlineLevel="0" collapsed="false">
      <c r="A322" s="7" t="s">
        <v>42</v>
      </c>
      <c r="B322" s="7" t="s">
        <v>67</v>
      </c>
      <c r="C322" s="7" t="s">
        <v>81</v>
      </c>
      <c r="D322" s="7" t="s">
        <v>149</v>
      </c>
      <c r="E322" s="16" t="str">
        <f aca="false">HYPERLINK("https://www.google.com/maps/search/"&amp;SUBSTITUTE(C322&amp;" "&amp;D322&amp;" "&amp;A322," ","+"),"Open Maps")</f>
        <v>Open Maps</v>
      </c>
      <c r="F322" s="15" t="s">
        <v>184</v>
      </c>
      <c r="G322" s="15"/>
    </row>
    <row r="323" customFormat="false" ht="15" hidden="false" customHeight="false" outlineLevel="0" collapsed="false">
      <c r="A323" s="7" t="s">
        <v>42</v>
      </c>
      <c r="B323" s="7" t="s">
        <v>67</v>
      </c>
      <c r="C323" s="7" t="s">
        <v>81</v>
      </c>
      <c r="D323" s="7" t="s">
        <v>150</v>
      </c>
      <c r="E323" s="16" t="str">
        <f aca="false">HYPERLINK("https://www.google.com/maps/search/"&amp;SUBSTITUTE(C323&amp;" "&amp;D323&amp;" "&amp;A323," ","+"),"Open Maps")</f>
        <v>Open Maps</v>
      </c>
      <c r="F323" s="15" t="s">
        <v>184</v>
      </c>
      <c r="G323" s="15"/>
    </row>
    <row r="324" customFormat="false" ht="15" hidden="false" customHeight="false" outlineLevel="0" collapsed="false">
      <c r="A324" s="7" t="s">
        <v>42</v>
      </c>
      <c r="B324" s="7" t="s">
        <v>67</v>
      </c>
      <c r="C324" s="7" t="s">
        <v>81</v>
      </c>
      <c r="D324" s="7" t="s">
        <v>151</v>
      </c>
      <c r="E324" s="16" t="str">
        <f aca="false">HYPERLINK("https://www.google.com/maps/search/"&amp;SUBSTITUTE(C324&amp;" "&amp;D324&amp;" "&amp;A324," ","+"),"Open Maps")</f>
        <v>Open Maps</v>
      </c>
      <c r="F324" s="15" t="s">
        <v>184</v>
      </c>
      <c r="G324" s="15"/>
    </row>
    <row r="325" customFormat="false" ht="15" hidden="false" customHeight="false" outlineLevel="0" collapsed="false">
      <c r="A325" s="7" t="s">
        <v>42</v>
      </c>
      <c r="B325" s="7" t="s">
        <v>67</v>
      </c>
      <c r="C325" s="7" t="s">
        <v>82</v>
      </c>
      <c r="D325" s="7" t="s">
        <v>148</v>
      </c>
      <c r="E325" s="16" t="str">
        <f aca="false">HYPERLINK("https://www.google.com/maps/search/"&amp;SUBSTITUTE(C325&amp;" "&amp;D325&amp;" "&amp;A325," ","+"),"Open Maps")</f>
        <v>Open Maps</v>
      </c>
      <c r="F325" s="15" t="s">
        <v>184</v>
      </c>
      <c r="G325" s="15"/>
    </row>
    <row r="326" customFormat="false" ht="15" hidden="false" customHeight="false" outlineLevel="0" collapsed="false">
      <c r="A326" s="7" t="s">
        <v>42</v>
      </c>
      <c r="B326" s="7" t="s">
        <v>67</v>
      </c>
      <c r="C326" s="7" t="s">
        <v>82</v>
      </c>
      <c r="D326" s="7" t="s">
        <v>149</v>
      </c>
      <c r="E326" s="16" t="str">
        <f aca="false">HYPERLINK("https://www.google.com/maps/search/"&amp;SUBSTITUTE(C326&amp;" "&amp;D326&amp;" "&amp;A326," ","+"),"Open Maps")</f>
        <v>Open Maps</v>
      </c>
      <c r="F326" s="15" t="s">
        <v>184</v>
      </c>
      <c r="G326" s="15"/>
    </row>
    <row r="327" customFormat="false" ht="15" hidden="false" customHeight="false" outlineLevel="0" collapsed="false">
      <c r="A327" s="7" t="s">
        <v>42</v>
      </c>
      <c r="B327" s="7" t="s">
        <v>67</v>
      </c>
      <c r="C327" s="7" t="s">
        <v>82</v>
      </c>
      <c r="D327" s="7" t="s">
        <v>150</v>
      </c>
      <c r="E327" s="16" t="str">
        <f aca="false">HYPERLINK("https://www.google.com/maps/search/"&amp;SUBSTITUTE(C327&amp;" "&amp;D327&amp;" "&amp;A327," ","+"),"Open Maps")</f>
        <v>Open Maps</v>
      </c>
      <c r="F327" s="15" t="s">
        <v>184</v>
      </c>
      <c r="G327" s="15"/>
    </row>
    <row r="328" customFormat="false" ht="15" hidden="false" customHeight="false" outlineLevel="0" collapsed="false">
      <c r="A328" s="7" t="s">
        <v>42</v>
      </c>
      <c r="B328" s="7" t="s">
        <v>67</v>
      </c>
      <c r="C328" s="7" t="s">
        <v>82</v>
      </c>
      <c r="D328" s="7" t="s">
        <v>151</v>
      </c>
      <c r="E328" s="16" t="str">
        <f aca="false">HYPERLINK("https://www.google.com/maps/search/"&amp;SUBSTITUTE(C328&amp;" "&amp;D328&amp;" "&amp;A328," ","+"),"Open Maps")</f>
        <v>Open Maps</v>
      </c>
      <c r="F328" s="15" t="s">
        <v>184</v>
      </c>
      <c r="G328" s="15"/>
    </row>
    <row r="329" customFormat="false" ht="15" hidden="false" customHeight="false" outlineLevel="0" collapsed="false">
      <c r="A329" s="7" t="s">
        <v>42</v>
      </c>
      <c r="B329" s="7" t="s">
        <v>67</v>
      </c>
      <c r="C329" s="7" t="s">
        <v>83</v>
      </c>
      <c r="D329" s="7" t="s">
        <v>148</v>
      </c>
      <c r="E329" s="16" t="str">
        <f aca="false">HYPERLINK("https://www.google.com/maps/search/"&amp;SUBSTITUTE(C329&amp;" "&amp;D329&amp;" "&amp;A329," ","+"),"Open Maps")</f>
        <v>Open Maps</v>
      </c>
      <c r="F329" s="15" t="s">
        <v>184</v>
      </c>
      <c r="G329" s="15"/>
    </row>
    <row r="330" customFormat="false" ht="15" hidden="false" customHeight="false" outlineLevel="0" collapsed="false">
      <c r="A330" s="7" t="s">
        <v>42</v>
      </c>
      <c r="B330" s="7" t="s">
        <v>67</v>
      </c>
      <c r="C330" s="7" t="s">
        <v>83</v>
      </c>
      <c r="D330" s="7" t="s">
        <v>149</v>
      </c>
      <c r="E330" s="16" t="str">
        <f aca="false">HYPERLINK("https://www.google.com/maps/search/"&amp;SUBSTITUTE(C330&amp;" "&amp;D330&amp;" "&amp;A330," ","+"),"Open Maps")</f>
        <v>Open Maps</v>
      </c>
      <c r="F330" s="15" t="s">
        <v>184</v>
      </c>
      <c r="G330" s="15"/>
    </row>
    <row r="331" customFormat="false" ht="15" hidden="false" customHeight="false" outlineLevel="0" collapsed="false">
      <c r="A331" s="7" t="s">
        <v>42</v>
      </c>
      <c r="B331" s="7" t="s">
        <v>67</v>
      </c>
      <c r="C331" s="7" t="s">
        <v>83</v>
      </c>
      <c r="D331" s="7" t="s">
        <v>150</v>
      </c>
      <c r="E331" s="16" t="str">
        <f aca="false">HYPERLINK("https://www.google.com/maps/search/"&amp;SUBSTITUTE(C331&amp;" "&amp;D331&amp;" "&amp;A331," ","+"),"Open Maps")</f>
        <v>Open Maps</v>
      </c>
      <c r="F331" s="15" t="s">
        <v>184</v>
      </c>
      <c r="G331" s="15"/>
    </row>
    <row r="332" customFormat="false" ht="15" hidden="false" customHeight="false" outlineLevel="0" collapsed="false">
      <c r="A332" s="7" t="s">
        <v>42</v>
      </c>
      <c r="B332" s="7" t="s">
        <v>67</v>
      </c>
      <c r="C332" s="7" t="s">
        <v>83</v>
      </c>
      <c r="D332" s="7" t="s">
        <v>151</v>
      </c>
      <c r="E332" s="16" t="str">
        <f aca="false">HYPERLINK("https://www.google.com/maps/search/"&amp;SUBSTITUTE(C332&amp;" "&amp;D332&amp;" "&amp;A332," ","+"),"Open Maps")</f>
        <v>Open Maps</v>
      </c>
      <c r="F332" s="15" t="s">
        <v>184</v>
      </c>
      <c r="G332" s="15"/>
    </row>
    <row r="333" customFormat="false" ht="15" hidden="false" customHeight="false" outlineLevel="0" collapsed="false">
      <c r="A333" s="7" t="s">
        <v>42</v>
      </c>
      <c r="B333" s="7" t="s">
        <v>67</v>
      </c>
      <c r="C333" s="7" t="s">
        <v>84</v>
      </c>
      <c r="D333" s="7" t="s">
        <v>148</v>
      </c>
      <c r="E333" s="16" t="str">
        <f aca="false">HYPERLINK("https://www.google.com/maps/search/"&amp;SUBSTITUTE(C333&amp;" "&amp;D333&amp;" "&amp;A333," ","+"),"Open Maps")</f>
        <v>Open Maps</v>
      </c>
      <c r="F333" s="15" t="s">
        <v>184</v>
      </c>
      <c r="G333" s="15"/>
    </row>
    <row r="334" customFormat="false" ht="15" hidden="false" customHeight="false" outlineLevel="0" collapsed="false">
      <c r="A334" s="7" t="s">
        <v>42</v>
      </c>
      <c r="B334" s="7" t="s">
        <v>67</v>
      </c>
      <c r="C334" s="7" t="s">
        <v>84</v>
      </c>
      <c r="D334" s="7" t="s">
        <v>149</v>
      </c>
      <c r="E334" s="16" t="str">
        <f aca="false">HYPERLINK("https://www.google.com/maps/search/"&amp;SUBSTITUTE(C334&amp;" "&amp;D334&amp;" "&amp;A334," ","+"),"Open Maps")</f>
        <v>Open Maps</v>
      </c>
      <c r="F334" s="15" t="s">
        <v>184</v>
      </c>
      <c r="G334" s="15"/>
    </row>
    <row r="335" customFormat="false" ht="15" hidden="false" customHeight="false" outlineLevel="0" collapsed="false">
      <c r="A335" s="7" t="s">
        <v>42</v>
      </c>
      <c r="B335" s="7" t="s">
        <v>67</v>
      </c>
      <c r="C335" s="7" t="s">
        <v>84</v>
      </c>
      <c r="D335" s="7" t="s">
        <v>150</v>
      </c>
      <c r="E335" s="16" t="str">
        <f aca="false">HYPERLINK("https://www.google.com/maps/search/"&amp;SUBSTITUTE(C335&amp;" "&amp;D335&amp;" "&amp;A335," ","+"),"Open Maps")</f>
        <v>Open Maps</v>
      </c>
      <c r="F335" s="15" t="s">
        <v>184</v>
      </c>
      <c r="G335" s="15"/>
    </row>
    <row r="336" customFormat="false" ht="15" hidden="false" customHeight="false" outlineLevel="0" collapsed="false">
      <c r="A336" s="7" t="s">
        <v>42</v>
      </c>
      <c r="B336" s="7" t="s">
        <v>67</v>
      </c>
      <c r="C336" s="7" t="s">
        <v>84</v>
      </c>
      <c r="D336" s="7" t="s">
        <v>151</v>
      </c>
      <c r="E336" s="16" t="str">
        <f aca="false">HYPERLINK("https://www.google.com/maps/search/"&amp;SUBSTITUTE(C336&amp;" "&amp;D336&amp;" "&amp;A336," ","+"),"Open Maps")</f>
        <v>Open Maps</v>
      </c>
      <c r="F336" s="15" t="s">
        <v>184</v>
      </c>
      <c r="G336" s="15"/>
    </row>
    <row r="337" customFormat="false" ht="15" hidden="false" customHeight="false" outlineLevel="0" collapsed="false">
      <c r="A337" s="7" t="s">
        <v>42</v>
      </c>
      <c r="B337" s="7" t="s">
        <v>67</v>
      </c>
      <c r="C337" s="7" t="s">
        <v>85</v>
      </c>
      <c r="D337" s="7" t="s">
        <v>148</v>
      </c>
      <c r="E337" s="16" t="str">
        <f aca="false">HYPERLINK("https://www.google.com/maps/search/"&amp;SUBSTITUTE(C337&amp;" "&amp;D337&amp;" "&amp;A337," ","+"),"Open Maps")</f>
        <v>Open Maps</v>
      </c>
      <c r="F337" s="15" t="s">
        <v>184</v>
      </c>
      <c r="G337" s="15"/>
    </row>
    <row r="338" customFormat="false" ht="15" hidden="false" customHeight="false" outlineLevel="0" collapsed="false">
      <c r="A338" s="7" t="s">
        <v>42</v>
      </c>
      <c r="B338" s="7" t="s">
        <v>67</v>
      </c>
      <c r="C338" s="7" t="s">
        <v>85</v>
      </c>
      <c r="D338" s="7" t="s">
        <v>149</v>
      </c>
      <c r="E338" s="16" t="str">
        <f aca="false">HYPERLINK("https://www.google.com/maps/search/"&amp;SUBSTITUTE(C338&amp;" "&amp;D338&amp;" "&amp;A338," ","+"),"Open Maps")</f>
        <v>Open Maps</v>
      </c>
      <c r="F338" s="15" t="s">
        <v>184</v>
      </c>
      <c r="G338" s="15"/>
    </row>
    <row r="339" customFormat="false" ht="15" hidden="false" customHeight="false" outlineLevel="0" collapsed="false">
      <c r="A339" s="7" t="s">
        <v>42</v>
      </c>
      <c r="B339" s="7" t="s">
        <v>67</v>
      </c>
      <c r="C339" s="7" t="s">
        <v>85</v>
      </c>
      <c r="D339" s="7" t="s">
        <v>150</v>
      </c>
      <c r="E339" s="16" t="str">
        <f aca="false">HYPERLINK("https://www.google.com/maps/search/"&amp;SUBSTITUTE(C339&amp;" "&amp;D339&amp;" "&amp;A339," ","+"),"Open Maps")</f>
        <v>Open Maps</v>
      </c>
      <c r="F339" s="15" t="s">
        <v>184</v>
      </c>
      <c r="G339" s="15"/>
    </row>
    <row r="340" customFormat="false" ht="15" hidden="false" customHeight="false" outlineLevel="0" collapsed="false">
      <c r="A340" s="7" t="s">
        <v>42</v>
      </c>
      <c r="B340" s="7" t="s">
        <v>67</v>
      </c>
      <c r="C340" s="7" t="s">
        <v>85</v>
      </c>
      <c r="D340" s="7" t="s">
        <v>151</v>
      </c>
      <c r="E340" s="16" t="str">
        <f aca="false">HYPERLINK("https://www.google.com/maps/search/"&amp;SUBSTITUTE(C340&amp;" "&amp;D340&amp;" "&amp;A340," ","+"),"Open Maps")</f>
        <v>Open Maps</v>
      </c>
      <c r="F340" s="15" t="s">
        <v>184</v>
      </c>
      <c r="G340" s="15"/>
    </row>
    <row r="341" customFormat="false" ht="15" hidden="false" customHeight="false" outlineLevel="0" collapsed="false">
      <c r="A341" s="7" t="s">
        <v>42</v>
      </c>
      <c r="B341" s="7" t="s">
        <v>67</v>
      </c>
      <c r="C341" s="7" t="s">
        <v>86</v>
      </c>
      <c r="D341" s="7" t="s">
        <v>148</v>
      </c>
      <c r="E341" s="16" t="str">
        <f aca="false">HYPERLINK("https://www.google.com/maps/search/"&amp;SUBSTITUTE(C341&amp;" "&amp;D341&amp;" "&amp;A341," ","+"),"Open Maps")</f>
        <v>Open Maps</v>
      </c>
      <c r="F341" s="15" t="s">
        <v>184</v>
      </c>
      <c r="G341" s="15"/>
    </row>
    <row r="342" customFormat="false" ht="15" hidden="false" customHeight="false" outlineLevel="0" collapsed="false">
      <c r="A342" s="7" t="s">
        <v>42</v>
      </c>
      <c r="B342" s="7" t="s">
        <v>67</v>
      </c>
      <c r="C342" s="7" t="s">
        <v>86</v>
      </c>
      <c r="D342" s="7" t="s">
        <v>149</v>
      </c>
      <c r="E342" s="16" t="str">
        <f aca="false">HYPERLINK("https://www.google.com/maps/search/"&amp;SUBSTITUTE(C342&amp;" "&amp;D342&amp;" "&amp;A342," ","+"),"Open Maps")</f>
        <v>Open Maps</v>
      </c>
      <c r="F342" s="15" t="s">
        <v>184</v>
      </c>
      <c r="G342" s="15"/>
    </row>
    <row r="343" customFormat="false" ht="15" hidden="false" customHeight="false" outlineLevel="0" collapsed="false">
      <c r="A343" s="7" t="s">
        <v>42</v>
      </c>
      <c r="B343" s="7" t="s">
        <v>67</v>
      </c>
      <c r="C343" s="7" t="s">
        <v>86</v>
      </c>
      <c r="D343" s="7" t="s">
        <v>150</v>
      </c>
      <c r="E343" s="16" t="str">
        <f aca="false">HYPERLINK("https://www.google.com/maps/search/"&amp;SUBSTITUTE(C343&amp;" "&amp;D343&amp;" "&amp;A343," ","+"),"Open Maps")</f>
        <v>Open Maps</v>
      </c>
      <c r="F343" s="15" t="s">
        <v>184</v>
      </c>
      <c r="G343" s="15"/>
    </row>
    <row r="344" customFormat="false" ht="15" hidden="false" customHeight="false" outlineLevel="0" collapsed="false">
      <c r="A344" s="7" t="s">
        <v>42</v>
      </c>
      <c r="B344" s="7" t="s">
        <v>67</v>
      </c>
      <c r="C344" s="7" t="s">
        <v>86</v>
      </c>
      <c r="D344" s="7" t="s">
        <v>151</v>
      </c>
      <c r="E344" s="16" t="str">
        <f aca="false">HYPERLINK("https://www.google.com/maps/search/"&amp;SUBSTITUTE(C344&amp;" "&amp;D344&amp;" "&amp;A344," ","+"),"Open Maps")</f>
        <v>Open Maps</v>
      </c>
      <c r="F344" s="15" t="s">
        <v>184</v>
      </c>
      <c r="G344" s="15"/>
    </row>
    <row r="345" customFormat="false" ht="15" hidden="false" customHeight="false" outlineLevel="0" collapsed="false">
      <c r="A345" s="7" t="s">
        <v>42</v>
      </c>
      <c r="B345" s="7" t="s">
        <v>76</v>
      </c>
      <c r="C345" s="7" t="s">
        <v>77</v>
      </c>
      <c r="D345" s="7" t="s">
        <v>148</v>
      </c>
      <c r="E345" s="16" t="str">
        <f aca="false">HYPERLINK("https://www.google.com/maps/search/"&amp;SUBSTITUTE(C345&amp;" "&amp;D345&amp;" "&amp;A345," ","+"),"Open Maps")</f>
        <v>Open Maps</v>
      </c>
      <c r="F345" s="15" t="s">
        <v>184</v>
      </c>
      <c r="G345" s="15"/>
    </row>
    <row r="346" customFormat="false" ht="15" hidden="false" customHeight="false" outlineLevel="0" collapsed="false">
      <c r="A346" s="7" t="s">
        <v>42</v>
      </c>
      <c r="B346" s="7" t="s">
        <v>76</v>
      </c>
      <c r="C346" s="7" t="s">
        <v>77</v>
      </c>
      <c r="D346" s="7" t="s">
        <v>149</v>
      </c>
      <c r="E346" s="16" t="str">
        <f aca="false">HYPERLINK("https://www.google.com/maps/search/"&amp;SUBSTITUTE(C346&amp;" "&amp;D346&amp;" "&amp;A346," ","+"),"Open Maps")</f>
        <v>Open Maps</v>
      </c>
      <c r="F346" s="15" t="s">
        <v>184</v>
      </c>
      <c r="G346" s="15"/>
    </row>
    <row r="347" customFormat="false" ht="15" hidden="false" customHeight="false" outlineLevel="0" collapsed="false">
      <c r="A347" s="7" t="s">
        <v>42</v>
      </c>
      <c r="B347" s="7" t="s">
        <v>76</v>
      </c>
      <c r="C347" s="7" t="s">
        <v>77</v>
      </c>
      <c r="D347" s="7" t="s">
        <v>150</v>
      </c>
      <c r="E347" s="16" t="str">
        <f aca="false">HYPERLINK("https://www.google.com/maps/search/"&amp;SUBSTITUTE(C347&amp;" "&amp;D347&amp;" "&amp;A347," ","+"),"Open Maps")</f>
        <v>Open Maps</v>
      </c>
      <c r="F347" s="15" t="s">
        <v>184</v>
      </c>
      <c r="G347" s="15"/>
    </row>
    <row r="348" customFormat="false" ht="15" hidden="false" customHeight="false" outlineLevel="0" collapsed="false">
      <c r="A348" s="7" t="s">
        <v>42</v>
      </c>
      <c r="B348" s="7" t="s">
        <v>76</v>
      </c>
      <c r="C348" s="7" t="s">
        <v>77</v>
      </c>
      <c r="D348" s="7" t="s">
        <v>151</v>
      </c>
      <c r="E348" s="16" t="str">
        <f aca="false">HYPERLINK("https://www.google.com/maps/search/"&amp;SUBSTITUTE(C348&amp;" "&amp;D348&amp;" "&amp;A348," ","+"),"Open Maps")</f>
        <v>Open Maps</v>
      </c>
      <c r="F348" s="15" t="s">
        <v>184</v>
      </c>
      <c r="G348" s="15"/>
    </row>
    <row r="349" customFormat="false" ht="15" hidden="false" customHeight="false" outlineLevel="0" collapsed="false">
      <c r="A349" s="7" t="s">
        <v>44</v>
      </c>
      <c r="B349" s="7" t="s">
        <v>64</v>
      </c>
      <c r="C349" s="7" t="s">
        <v>79</v>
      </c>
      <c r="D349" s="7" t="s">
        <v>152</v>
      </c>
      <c r="E349" s="16" t="str">
        <f aca="false">HYPERLINK("https://www.google.com/maps/search/"&amp;SUBSTITUTE(C349&amp;" "&amp;D349&amp;" "&amp;A349," ","+"),"Open Maps")</f>
        <v>Open Maps</v>
      </c>
      <c r="F349" s="15" t="s">
        <v>184</v>
      </c>
      <c r="G349" s="15"/>
    </row>
    <row r="350" customFormat="false" ht="15" hidden="false" customHeight="false" outlineLevel="0" collapsed="false">
      <c r="A350" s="7" t="s">
        <v>44</v>
      </c>
      <c r="B350" s="7" t="s">
        <v>64</v>
      </c>
      <c r="C350" s="7" t="s">
        <v>79</v>
      </c>
      <c r="D350" s="7" t="s">
        <v>153</v>
      </c>
      <c r="E350" s="16" t="str">
        <f aca="false">HYPERLINK("https://www.google.com/maps/search/"&amp;SUBSTITUTE(C350&amp;" "&amp;D350&amp;" "&amp;A350," ","+"),"Open Maps")</f>
        <v>Open Maps</v>
      </c>
      <c r="F350" s="15" t="s">
        <v>184</v>
      </c>
      <c r="G350" s="15"/>
    </row>
    <row r="351" customFormat="false" ht="15" hidden="false" customHeight="false" outlineLevel="0" collapsed="false">
      <c r="A351" s="7" t="s">
        <v>44</v>
      </c>
      <c r="B351" s="7" t="s">
        <v>64</v>
      </c>
      <c r="C351" s="7" t="s">
        <v>79</v>
      </c>
      <c r="D351" s="7" t="s">
        <v>154</v>
      </c>
      <c r="E351" s="16" t="str">
        <f aca="false">HYPERLINK("https://www.google.com/maps/search/"&amp;SUBSTITUTE(C351&amp;" "&amp;D351&amp;" "&amp;A351," ","+"),"Open Maps")</f>
        <v>Open Maps</v>
      </c>
      <c r="F351" s="15" t="s">
        <v>184</v>
      </c>
      <c r="G351" s="15"/>
    </row>
    <row r="352" customFormat="false" ht="15" hidden="false" customHeight="false" outlineLevel="0" collapsed="false">
      <c r="A352" s="7" t="s">
        <v>44</v>
      </c>
      <c r="B352" s="7" t="s">
        <v>64</v>
      </c>
      <c r="C352" s="7" t="s">
        <v>79</v>
      </c>
      <c r="D352" s="7" t="s">
        <v>155</v>
      </c>
      <c r="E352" s="16" t="str">
        <f aca="false">HYPERLINK("https://www.google.com/maps/search/"&amp;SUBSTITUTE(C352&amp;" "&amp;D352&amp;" "&amp;A352," ","+"),"Open Maps")</f>
        <v>Open Maps</v>
      </c>
      <c r="F352" s="15" t="s">
        <v>184</v>
      </c>
      <c r="G352" s="15"/>
    </row>
    <row r="353" customFormat="false" ht="15" hidden="false" customHeight="false" outlineLevel="0" collapsed="false">
      <c r="A353" s="7" t="s">
        <v>44</v>
      </c>
      <c r="B353" s="7" t="s">
        <v>67</v>
      </c>
      <c r="C353" s="7" t="s">
        <v>80</v>
      </c>
      <c r="D353" s="7" t="s">
        <v>152</v>
      </c>
      <c r="E353" s="16" t="str">
        <f aca="false">HYPERLINK("https://www.google.com/maps/search/"&amp;SUBSTITUTE(C353&amp;" "&amp;D353&amp;" "&amp;A353," ","+"),"Open Maps")</f>
        <v>Open Maps</v>
      </c>
      <c r="F353" s="15" t="s">
        <v>184</v>
      </c>
      <c r="G353" s="15"/>
    </row>
    <row r="354" customFormat="false" ht="15" hidden="false" customHeight="false" outlineLevel="0" collapsed="false">
      <c r="A354" s="7" t="s">
        <v>44</v>
      </c>
      <c r="B354" s="7" t="s">
        <v>67</v>
      </c>
      <c r="C354" s="7" t="s">
        <v>80</v>
      </c>
      <c r="D354" s="7" t="s">
        <v>153</v>
      </c>
      <c r="E354" s="16" t="str">
        <f aca="false">HYPERLINK("https://www.google.com/maps/search/"&amp;SUBSTITUTE(C354&amp;" "&amp;D354&amp;" "&amp;A354," ","+"),"Open Maps")</f>
        <v>Open Maps</v>
      </c>
      <c r="F354" s="15" t="s">
        <v>184</v>
      </c>
      <c r="G354" s="15"/>
    </row>
    <row r="355" customFormat="false" ht="15" hidden="false" customHeight="false" outlineLevel="0" collapsed="false">
      <c r="A355" s="7" t="s">
        <v>44</v>
      </c>
      <c r="B355" s="7" t="s">
        <v>67</v>
      </c>
      <c r="C355" s="7" t="s">
        <v>80</v>
      </c>
      <c r="D355" s="7" t="s">
        <v>154</v>
      </c>
      <c r="E355" s="16" t="str">
        <f aca="false">HYPERLINK("https://www.google.com/maps/search/"&amp;SUBSTITUTE(C355&amp;" "&amp;D355&amp;" "&amp;A355," ","+"),"Open Maps")</f>
        <v>Open Maps</v>
      </c>
      <c r="F355" s="15" t="s">
        <v>184</v>
      </c>
      <c r="G355" s="15"/>
    </row>
    <row r="356" customFormat="false" ht="15" hidden="false" customHeight="false" outlineLevel="0" collapsed="false">
      <c r="A356" s="7" t="s">
        <v>44</v>
      </c>
      <c r="B356" s="7" t="s">
        <v>67</v>
      </c>
      <c r="C356" s="7" t="s">
        <v>80</v>
      </c>
      <c r="D356" s="7" t="s">
        <v>155</v>
      </c>
      <c r="E356" s="16" t="str">
        <f aca="false">HYPERLINK("https://www.google.com/maps/search/"&amp;SUBSTITUTE(C356&amp;" "&amp;D356&amp;" "&amp;A356," ","+"),"Open Maps")</f>
        <v>Open Maps</v>
      </c>
      <c r="F356" s="15" t="s">
        <v>184</v>
      </c>
      <c r="G356" s="15"/>
    </row>
    <row r="357" customFormat="false" ht="15" hidden="false" customHeight="false" outlineLevel="0" collapsed="false">
      <c r="A357" s="7" t="s">
        <v>44</v>
      </c>
      <c r="B357" s="7" t="s">
        <v>67</v>
      </c>
      <c r="C357" s="7" t="s">
        <v>81</v>
      </c>
      <c r="D357" s="7" t="s">
        <v>152</v>
      </c>
      <c r="E357" s="16" t="str">
        <f aca="false">HYPERLINK("https://www.google.com/maps/search/"&amp;SUBSTITUTE(C357&amp;" "&amp;D357&amp;" "&amp;A357," ","+"),"Open Maps")</f>
        <v>Open Maps</v>
      </c>
      <c r="F357" s="15" t="s">
        <v>184</v>
      </c>
      <c r="G357" s="15"/>
    </row>
    <row r="358" customFormat="false" ht="15" hidden="false" customHeight="false" outlineLevel="0" collapsed="false">
      <c r="A358" s="7" t="s">
        <v>44</v>
      </c>
      <c r="B358" s="7" t="s">
        <v>67</v>
      </c>
      <c r="C358" s="7" t="s">
        <v>81</v>
      </c>
      <c r="D358" s="7" t="s">
        <v>153</v>
      </c>
      <c r="E358" s="16" t="str">
        <f aca="false">HYPERLINK("https://www.google.com/maps/search/"&amp;SUBSTITUTE(C358&amp;" "&amp;D358&amp;" "&amp;A358," ","+"),"Open Maps")</f>
        <v>Open Maps</v>
      </c>
      <c r="F358" s="15" t="s">
        <v>184</v>
      </c>
      <c r="G358" s="15"/>
    </row>
    <row r="359" customFormat="false" ht="15" hidden="false" customHeight="false" outlineLevel="0" collapsed="false">
      <c r="A359" s="7" t="s">
        <v>44</v>
      </c>
      <c r="B359" s="7" t="s">
        <v>67</v>
      </c>
      <c r="C359" s="7" t="s">
        <v>81</v>
      </c>
      <c r="D359" s="7" t="s">
        <v>154</v>
      </c>
      <c r="E359" s="16" t="str">
        <f aca="false">HYPERLINK("https://www.google.com/maps/search/"&amp;SUBSTITUTE(C359&amp;" "&amp;D359&amp;" "&amp;A359," ","+"),"Open Maps")</f>
        <v>Open Maps</v>
      </c>
      <c r="F359" s="15" t="s">
        <v>184</v>
      </c>
      <c r="G359" s="15"/>
    </row>
    <row r="360" customFormat="false" ht="15" hidden="false" customHeight="false" outlineLevel="0" collapsed="false">
      <c r="A360" s="7" t="s">
        <v>44</v>
      </c>
      <c r="B360" s="7" t="s">
        <v>67</v>
      </c>
      <c r="C360" s="7" t="s">
        <v>81</v>
      </c>
      <c r="D360" s="7" t="s">
        <v>155</v>
      </c>
      <c r="E360" s="16" t="str">
        <f aca="false">HYPERLINK("https://www.google.com/maps/search/"&amp;SUBSTITUTE(C360&amp;" "&amp;D360&amp;" "&amp;A360," ","+"),"Open Maps")</f>
        <v>Open Maps</v>
      </c>
      <c r="F360" s="15" t="s">
        <v>184</v>
      </c>
      <c r="G360" s="15"/>
    </row>
    <row r="361" customFormat="false" ht="15" hidden="false" customHeight="false" outlineLevel="0" collapsed="false">
      <c r="A361" s="7" t="s">
        <v>44</v>
      </c>
      <c r="B361" s="7" t="s">
        <v>67</v>
      </c>
      <c r="C361" s="7" t="s">
        <v>82</v>
      </c>
      <c r="D361" s="7" t="s">
        <v>152</v>
      </c>
      <c r="E361" s="16" t="str">
        <f aca="false">HYPERLINK("https://www.google.com/maps/search/"&amp;SUBSTITUTE(C361&amp;" "&amp;D361&amp;" "&amp;A361," ","+"),"Open Maps")</f>
        <v>Open Maps</v>
      </c>
      <c r="F361" s="15" t="s">
        <v>184</v>
      </c>
      <c r="G361" s="15"/>
    </row>
    <row r="362" customFormat="false" ht="15" hidden="false" customHeight="false" outlineLevel="0" collapsed="false">
      <c r="A362" s="7" t="s">
        <v>44</v>
      </c>
      <c r="B362" s="7" t="s">
        <v>67</v>
      </c>
      <c r="C362" s="7" t="s">
        <v>82</v>
      </c>
      <c r="D362" s="7" t="s">
        <v>153</v>
      </c>
      <c r="E362" s="16" t="str">
        <f aca="false">HYPERLINK("https://www.google.com/maps/search/"&amp;SUBSTITUTE(C362&amp;" "&amp;D362&amp;" "&amp;A362," ","+"),"Open Maps")</f>
        <v>Open Maps</v>
      </c>
      <c r="F362" s="15" t="s">
        <v>184</v>
      </c>
      <c r="G362" s="15"/>
    </row>
    <row r="363" customFormat="false" ht="15" hidden="false" customHeight="false" outlineLevel="0" collapsed="false">
      <c r="A363" s="7" t="s">
        <v>44</v>
      </c>
      <c r="B363" s="7" t="s">
        <v>67</v>
      </c>
      <c r="C363" s="7" t="s">
        <v>82</v>
      </c>
      <c r="D363" s="7" t="s">
        <v>154</v>
      </c>
      <c r="E363" s="16" t="str">
        <f aca="false">HYPERLINK("https://www.google.com/maps/search/"&amp;SUBSTITUTE(C363&amp;" "&amp;D363&amp;" "&amp;A363," ","+"),"Open Maps")</f>
        <v>Open Maps</v>
      </c>
      <c r="F363" s="15" t="s">
        <v>184</v>
      </c>
      <c r="G363" s="15"/>
    </row>
    <row r="364" customFormat="false" ht="15" hidden="false" customHeight="false" outlineLevel="0" collapsed="false">
      <c r="A364" s="7" t="s">
        <v>44</v>
      </c>
      <c r="B364" s="7" t="s">
        <v>67</v>
      </c>
      <c r="C364" s="7" t="s">
        <v>82</v>
      </c>
      <c r="D364" s="7" t="s">
        <v>155</v>
      </c>
      <c r="E364" s="16" t="str">
        <f aca="false">HYPERLINK("https://www.google.com/maps/search/"&amp;SUBSTITUTE(C364&amp;" "&amp;D364&amp;" "&amp;A364," ","+"),"Open Maps")</f>
        <v>Open Maps</v>
      </c>
      <c r="F364" s="15" t="s">
        <v>184</v>
      </c>
      <c r="G364" s="15"/>
    </row>
    <row r="365" customFormat="false" ht="15" hidden="false" customHeight="false" outlineLevel="0" collapsed="false">
      <c r="A365" s="7" t="s">
        <v>44</v>
      </c>
      <c r="B365" s="7" t="s">
        <v>67</v>
      </c>
      <c r="C365" s="7" t="s">
        <v>83</v>
      </c>
      <c r="D365" s="7" t="s">
        <v>152</v>
      </c>
      <c r="E365" s="16" t="str">
        <f aca="false">HYPERLINK("https://www.google.com/maps/search/"&amp;SUBSTITUTE(C365&amp;" "&amp;D365&amp;" "&amp;A365," ","+"),"Open Maps")</f>
        <v>Open Maps</v>
      </c>
      <c r="F365" s="15" t="s">
        <v>184</v>
      </c>
      <c r="G365" s="15"/>
    </row>
    <row r="366" customFormat="false" ht="15" hidden="false" customHeight="false" outlineLevel="0" collapsed="false">
      <c r="A366" s="7" t="s">
        <v>44</v>
      </c>
      <c r="B366" s="7" t="s">
        <v>67</v>
      </c>
      <c r="C366" s="7" t="s">
        <v>83</v>
      </c>
      <c r="D366" s="7" t="s">
        <v>153</v>
      </c>
      <c r="E366" s="16" t="str">
        <f aca="false">HYPERLINK("https://www.google.com/maps/search/"&amp;SUBSTITUTE(C366&amp;" "&amp;D366&amp;" "&amp;A366," ","+"),"Open Maps")</f>
        <v>Open Maps</v>
      </c>
      <c r="F366" s="15" t="s">
        <v>184</v>
      </c>
      <c r="G366" s="15"/>
    </row>
    <row r="367" customFormat="false" ht="15" hidden="false" customHeight="false" outlineLevel="0" collapsed="false">
      <c r="A367" s="7" t="s">
        <v>44</v>
      </c>
      <c r="B367" s="7" t="s">
        <v>67</v>
      </c>
      <c r="C367" s="7" t="s">
        <v>83</v>
      </c>
      <c r="D367" s="7" t="s">
        <v>154</v>
      </c>
      <c r="E367" s="16" t="str">
        <f aca="false">HYPERLINK("https://www.google.com/maps/search/"&amp;SUBSTITUTE(C367&amp;" "&amp;D367&amp;" "&amp;A367," ","+"),"Open Maps")</f>
        <v>Open Maps</v>
      </c>
      <c r="F367" s="15" t="s">
        <v>184</v>
      </c>
      <c r="G367" s="15"/>
    </row>
    <row r="368" customFormat="false" ht="15" hidden="false" customHeight="false" outlineLevel="0" collapsed="false">
      <c r="A368" s="7" t="s">
        <v>44</v>
      </c>
      <c r="B368" s="7" t="s">
        <v>67</v>
      </c>
      <c r="C368" s="7" t="s">
        <v>83</v>
      </c>
      <c r="D368" s="7" t="s">
        <v>155</v>
      </c>
      <c r="E368" s="16" t="str">
        <f aca="false">HYPERLINK("https://www.google.com/maps/search/"&amp;SUBSTITUTE(C368&amp;" "&amp;D368&amp;" "&amp;A368," ","+"),"Open Maps")</f>
        <v>Open Maps</v>
      </c>
      <c r="F368" s="15" t="s">
        <v>184</v>
      </c>
      <c r="G368" s="15"/>
    </row>
    <row r="369" customFormat="false" ht="15" hidden="false" customHeight="false" outlineLevel="0" collapsed="false">
      <c r="A369" s="7" t="s">
        <v>44</v>
      </c>
      <c r="B369" s="7" t="s">
        <v>67</v>
      </c>
      <c r="C369" s="7" t="s">
        <v>84</v>
      </c>
      <c r="D369" s="7" t="s">
        <v>152</v>
      </c>
      <c r="E369" s="16" t="str">
        <f aca="false">HYPERLINK("https://www.google.com/maps/search/"&amp;SUBSTITUTE(C369&amp;" "&amp;D369&amp;" "&amp;A369," ","+"),"Open Maps")</f>
        <v>Open Maps</v>
      </c>
      <c r="F369" s="15" t="s">
        <v>184</v>
      </c>
      <c r="G369" s="15"/>
    </row>
    <row r="370" customFormat="false" ht="15" hidden="false" customHeight="false" outlineLevel="0" collapsed="false">
      <c r="A370" s="7" t="s">
        <v>44</v>
      </c>
      <c r="B370" s="7" t="s">
        <v>67</v>
      </c>
      <c r="C370" s="7" t="s">
        <v>84</v>
      </c>
      <c r="D370" s="7" t="s">
        <v>153</v>
      </c>
      <c r="E370" s="16" t="str">
        <f aca="false">HYPERLINK("https://www.google.com/maps/search/"&amp;SUBSTITUTE(C370&amp;" "&amp;D370&amp;" "&amp;A370," ","+"),"Open Maps")</f>
        <v>Open Maps</v>
      </c>
      <c r="F370" s="15" t="s">
        <v>184</v>
      </c>
      <c r="G370" s="15"/>
    </row>
    <row r="371" customFormat="false" ht="15" hidden="false" customHeight="false" outlineLevel="0" collapsed="false">
      <c r="A371" s="7" t="s">
        <v>44</v>
      </c>
      <c r="B371" s="7" t="s">
        <v>67</v>
      </c>
      <c r="C371" s="7" t="s">
        <v>84</v>
      </c>
      <c r="D371" s="7" t="s">
        <v>154</v>
      </c>
      <c r="E371" s="16" t="str">
        <f aca="false">HYPERLINK("https://www.google.com/maps/search/"&amp;SUBSTITUTE(C371&amp;" "&amp;D371&amp;" "&amp;A371," ","+"),"Open Maps")</f>
        <v>Open Maps</v>
      </c>
      <c r="F371" s="15" t="s">
        <v>184</v>
      </c>
      <c r="G371" s="15"/>
    </row>
    <row r="372" customFormat="false" ht="15" hidden="false" customHeight="false" outlineLevel="0" collapsed="false">
      <c r="A372" s="7" t="s">
        <v>44</v>
      </c>
      <c r="B372" s="7" t="s">
        <v>67</v>
      </c>
      <c r="C372" s="7" t="s">
        <v>84</v>
      </c>
      <c r="D372" s="7" t="s">
        <v>155</v>
      </c>
      <c r="E372" s="16" t="str">
        <f aca="false">HYPERLINK("https://www.google.com/maps/search/"&amp;SUBSTITUTE(C372&amp;" "&amp;D372&amp;" "&amp;A372," ","+"),"Open Maps")</f>
        <v>Open Maps</v>
      </c>
      <c r="F372" s="15" t="s">
        <v>184</v>
      </c>
      <c r="G372" s="15"/>
    </row>
    <row r="373" customFormat="false" ht="15" hidden="false" customHeight="false" outlineLevel="0" collapsed="false">
      <c r="A373" s="7" t="s">
        <v>44</v>
      </c>
      <c r="B373" s="7" t="s">
        <v>67</v>
      </c>
      <c r="C373" s="7" t="s">
        <v>85</v>
      </c>
      <c r="D373" s="7" t="s">
        <v>152</v>
      </c>
      <c r="E373" s="16" t="str">
        <f aca="false">HYPERLINK("https://www.google.com/maps/search/"&amp;SUBSTITUTE(C373&amp;" "&amp;D373&amp;" "&amp;A373," ","+"),"Open Maps")</f>
        <v>Open Maps</v>
      </c>
      <c r="F373" s="15" t="s">
        <v>184</v>
      </c>
      <c r="G373" s="15"/>
    </row>
    <row r="374" customFormat="false" ht="15" hidden="false" customHeight="false" outlineLevel="0" collapsed="false">
      <c r="A374" s="7" t="s">
        <v>44</v>
      </c>
      <c r="B374" s="7" t="s">
        <v>67</v>
      </c>
      <c r="C374" s="7" t="s">
        <v>85</v>
      </c>
      <c r="D374" s="7" t="s">
        <v>153</v>
      </c>
      <c r="E374" s="16" t="str">
        <f aca="false">HYPERLINK("https://www.google.com/maps/search/"&amp;SUBSTITUTE(C374&amp;" "&amp;D374&amp;" "&amp;A374," ","+"),"Open Maps")</f>
        <v>Open Maps</v>
      </c>
      <c r="F374" s="15" t="s">
        <v>184</v>
      </c>
      <c r="G374" s="15"/>
    </row>
    <row r="375" customFormat="false" ht="15" hidden="false" customHeight="false" outlineLevel="0" collapsed="false">
      <c r="A375" s="7" t="s">
        <v>44</v>
      </c>
      <c r="B375" s="7" t="s">
        <v>67</v>
      </c>
      <c r="C375" s="7" t="s">
        <v>85</v>
      </c>
      <c r="D375" s="7" t="s">
        <v>154</v>
      </c>
      <c r="E375" s="16" t="str">
        <f aca="false">HYPERLINK("https://www.google.com/maps/search/"&amp;SUBSTITUTE(C375&amp;" "&amp;D375&amp;" "&amp;A375," ","+"),"Open Maps")</f>
        <v>Open Maps</v>
      </c>
      <c r="F375" s="15" t="s">
        <v>184</v>
      </c>
      <c r="G375" s="15"/>
    </row>
    <row r="376" customFormat="false" ht="15" hidden="false" customHeight="false" outlineLevel="0" collapsed="false">
      <c r="A376" s="7" t="s">
        <v>44</v>
      </c>
      <c r="B376" s="7" t="s">
        <v>67</v>
      </c>
      <c r="C376" s="7" t="s">
        <v>85</v>
      </c>
      <c r="D376" s="7" t="s">
        <v>155</v>
      </c>
      <c r="E376" s="16" t="str">
        <f aca="false">HYPERLINK("https://www.google.com/maps/search/"&amp;SUBSTITUTE(C376&amp;" "&amp;D376&amp;" "&amp;A376," ","+"),"Open Maps")</f>
        <v>Open Maps</v>
      </c>
      <c r="F376" s="15" t="s">
        <v>184</v>
      </c>
      <c r="G376" s="15"/>
    </row>
    <row r="377" customFormat="false" ht="15" hidden="false" customHeight="false" outlineLevel="0" collapsed="false">
      <c r="A377" s="7" t="s">
        <v>44</v>
      </c>
      <c r="B377" s="7" t="s">
        <v>67</v>
      </c>
      <c r="C377" s="7" t="s">
        <v>86</v>
      </c>
      <c r="D377" s="7" t="s">
        <v>152</v>
      </c>
      <c r="E377" s="16" t="str">
        <f aca="false">HYPERLINK("https://www.google.com/maps/search/"&amp;SUBSTITUTE(C377&amp;" "&amp;D377&amp;" "&amp;A377," ","+"),"Open Maps")</f>
        <v>Open Maps</v>
      </c>
      <c r="F377" s="15" t="s">
        <v>184</v>
      </c>
      <c r="G377" s="15"/>
    </row>
    <row r="378" customFormat="false" ht="15" hidden="false" customHeight="false" outlineLevel="0" collapsed="false">
      <c r="A378" s="7" t="s">
        <v>44</v>
      </c>
      <c r="B378" s="7" t="s">
        <v>67</v>
      </c>
      <c r="C378" s="7" t="s">
        <v>86</v>
      </c>
      <c r="D378" s="7" t="s">
        <v>153</v>
      </c>
      <c r="E378" s="16" t="str">
        <f aca="false">HYPERLINK("https://www.google.com/maps/search/"&amp;SUBSTITUTE(C378&amp;" "&amp;D378&amp;" "&amp;A378," ","+"),"Open Maps")</f>
        <v>Open Maps</v>
      </c>
      <c r="F378" s="15" t="s">
        <v>184</v>
      </c>
      <c r="G378" s="15"/>
    </row>
    <row r="379" customFormat="false" ht="15" hidden="false" customHeight="false" outlineLevel="0" collapsed="false">
      <c r="A379" s="7" t="s">
        <v>44</v>
      </c>
      <c r="B379" s="7" t="s">
        <v>67</v>
      </c>
      <c r="C379" s="7" t="s">
        <v>86</v>
      </c>
      <c r="D379" s="7" t="s">
        <v>154</v>
      </c>
      <c r="E379" s="16" t="str">
        <f aca="false">HYPERLINK("https://www.google.com/maps/search/"&amp;SUBSTITUTE(C379&amp;" "&amp;D379&amp;" "&amp;A379," ","+"),"Open Maps")</f>
        <v>Open Maps</v>
      </c>
      <c r="F379" s="15" t="s">
        <v>184</v>
      </c>
      <c r="G379" s="15"/>
    </row>
    <row r="380" customFormat="false" ht="15" hidden="false" customHeight="false" outlineLevel="0" collapsed="false">
      <c r="A380" s="7" t="s">
        <v>44</v>
      </c>
      <c r="B380" s="7" t="s">
        <v>67</v>
      </c>
      <c r="C380" s="7" t="s">
        <v>86</v>
      </c>
      <c r="D380" s="7" t="s">
        <v>155</v>
      </c>
      <c r="E380" s="16" t="str">
        <f aca="false">HYPERLINK("https://www.google.com/maps/search/"&amp;SUBSTITUTE(C380&amp;" "&amp;D380&amp;" "&amp;A380," ","+"),"Open Maps")</f>
        <v>Open Maps</v>
      </c>
      <c r="F380" s="15" t="s">
        <v>184</v>
      </c>
      <c r="G380" s="15"/>
    </row>
    <row r="381" customFormat="false" ht="15" hidden="false" customHeight="false" outlineLevel="0" collapsed="false">
      <c r="A381" s="7" t="s">
        <v>44</v>
      </c>
      <c r="B381" s="7" t="s">
        <v>76</v>
      </c>
      <c r="C381" s="7" t="s">
        <v>77</v>
      </c>
      <c r="D381" s="7" t="s">
        <v>152</v>
      </c>
      <c r="E381" s="16" t="str">
        <f aca="false">HYPERLINK("https://www.google.com/maps/search/"&amp;SUBSTITUTE(C381&amp;" "&amp;D381&amp;" "&amp;A381," ","+"),"Open Maps")</f>
        <v>Open Maps</v>
      </c>
      <c r="F381" s="15" t="s">
        <v>184</v>
      </c>
      <c r="G381" s="15"/>
    </row>
    <row r="382" customFormat="false" ht="15" hidden="false" customHeight="false" outlineLevel="0" collapsed="false">
      <c r="A382" s="7" t="s">
        <v>44</v>
      </c>
      <c r="B382" s="7" t="s">
        <v>76</v>
      </c>
      <c r="C382" s="7" t="s">
        <v>77</v>
      </c>
      <c r="D382" s="7" t="s">
        <v>153</v>
      </c>
      <c r="E382" s="16" t="str">
        <f aca="false">HYPERLINK("https://www.google.com/maps/search/"&amp;SUBSTITUTE(C382&amp;" "&amp;D382&amp;" "&amp;A382," ","+"),"Open Maps")</f>
        <v>Open Maps</v>
      </c>
      <c r="F382" s="15" t="s">
        <v>184</v>
      </c>
      <c r="G382" s="15"/>
    </row>
    <row r="383" customFormat="false" ht="15" hidden="false" customHeight="false" outlineLevel="0" collapsed="false">
      <c r="A383" s="7" t="s">
        <v>44</v>
      </c>
      <c r="B383" s="7" t="s">
        <v>76</v>
      </c>
      <c r="C383" s="7" t="s">
        <v>77</v>
      </c>
      <c r="D383" s="7" t="s">
        <v>154</v>
      </c>
      <c r="E383" s="16" t="str">
        <f aca="false">HYPERLINK("https://www.google.com/maps/search/"&amp;SUBSTITUTE(C383&amp;" "&amp;D383&amp;" "&amp;A383," ","+"),"Open Maps")</f>
        <v>Open Maps</v>
      </c>
      <c r="F383" s="15" t="s">
        <v>184</v>
      </c>
      <c r="G383" s="15"/>
    </row>
    <row r="384" customFormat="false" ht="15" hidden="false" customHeight="false" outlineLevel="0" collapsed="false">
      <c r="A384" s="7" t="s">
        <v>44</v>
      </c>
      <c r="B384" s="7" t="s">
        <v>76</v>
      </c>
      <c r="C384" s="7" t="s">
        <v>77</v>
      </c>
      <c r="D384" s="7" t="s">
        <v>155</v>
      </c>
      <c r="E384" s="16" t="str">
        <f aca="false">HYPERLINK("https://www.google.com/maps/search/"&amp;SUBSTITUTE(C384&amp;" "&amp;D384&amp;" "&amp;A384," ","+"),"Open Maps")</f>
        <v>Open Maps</v>
      </c>
      <c r="F384" s="15" t="s">
        <v>184</v>
      </c>
      <c r="G384" s="15"/>
    </row>
    <row r="385" customFormat="false" ht="15" hidden="false" customHeight="false" outlineLevel="0" collapsed="false">
      <c r="A385" s="7" t="s">
        <v>46</v>
      </c>
      <c r="B385" s="7" t="s">
        <v>64</v>
      </c>
      <c r="C385" s="7" t="s">
        <v>103</v>
      </c>
      <c r="D385" s="7" t="s">
        <v>156</v>
      </c>
      <c r="E385" s="16" t="str">
        <f aca="false">HYPERLINK("https://www.google.com/maps/search/"&amp;SUBSTITUTE(C385&amp;" "&amp;D385&amp;" "&amp;A385," ","+"),"Open Maps")</f>
        <v>Open Maps</v>
      </c>
      <c r="F385" s="15" t="s">
        <v>184</v>
      </c>
      <c r="G385" s="15"/>
    </row>
    <row r="386" customFormat="false" ht="15" hidden="false" customHeight="false" outlineLevel="0" collapsed="false">
      <c r="A386" s="7" t="s">
        <v>46</v>
      </c>
      <c r="B386" s="7" t="s">
        <v>64</v>
      </c>
      <c r="C386" s="7" t="s">
        <v>103</v>
      </c>
      <c r="D386" s="7" t="s">
        <v>157</v>
      </c>
      <c r="E386" s="16" t="str">
        <f aca="false">HYPERLINK("https://www.google.com/maps/search/"&amp;SUBSTITUTE(C386&amp;" "&amp;D386&amp;" "&amp;A386," ","+"),"Open Maps")</f>
        <v>Open Maps</v>
      </c>
      <c r="F386" s="15" t="s">
        <v>184</v>
      </c>
      <c r="G386" s="15"/>
    </row>
    <row r="387" customFormat="false" ht="15" hidden="false" customHeight="false" outlineLevel="0" collapsed="false">
      <c r="A387" s="7" t="s">
        <v>46</v>
      </c>
      <c r="B387" s="7" t="s">
        <v>64</v>
      </c>
      <c r="C387" s="7" t="s">
        <v>103</v>
      </c>
      <c r="D387" s="7" t="s">
        <v>158</v>
      </c>
      <c r="E387" s="16" t="str">
        <f aca="false">HYPERLINK("https://www.google.com/maps/search/"&amp;SUBSTITUTE(C387&amp;" "&amp;D387&amp;" "&amp;A387," ","+"),"Open Maps")</f>
        <v>Open Maps</v>
      </c>
      <c r="F387" s="15" t="s">
        <v>184</v>
      </c>
      <c r="G387" s="15"/>
    </row>
    <row r="388" customFormat="false" ht="15" hidden="false" customHeight="false" outlineLevel="0" collapsed="false">
      <c r="A388" s="7" t="s">
        <v>46</v>
      </c>
      <c r="B388" s="7" t="s">
        <v>64</v>
      </c>
      <c r="C388" s="7" t="s">
        <v>103</v>
      </c>
      <c r="D388" s="7" t="s">
        <v>159</v>
      </c>
      <c r="E388" s="16" t="str">
        <f aca="false">HYPERLINK("https://www.google.com/maps/search/"&amp;SUBSTITUTE(C388&amp;" "&amp;D388&amp;" "&amp;A388," ","+"),"Open Maps")</f>
        <v>Open Maps</v>
      </c>
      <c r="F388" s="15" t="s">
        <v>184</v>
      </c>
      <c r="G388" s="15"/>
    </row>
    <row r="389" customFormat="false" ht="15" hidden="false" customHeight="false" outlineLevel="0" collapsed="false">
      <c r="A389" s="7" t="s">
        <v>46</v>
      </c>
      <c r="B389" s="7" t="s">
        <v>67</v>
      </c>
      <c r="C389" s="7" t="s">
        <v>104</v>
      </c>
      <c r="D389" s="7" t="s">
        <v>156</v>
      </c>
      <c r="E389" s="16" t="str">
        <f aca="false">HYPERLINK("https://www.google.com/maps/search/"&amp;SUBSTITUTE(C389&amp;" "&amp;D389&amp;" "&amp;A389," ","+"),"Open Maps")</f>
        <v>Open Maps</v>
      </c>
      <c r="F389" s="15" t="s">
        <v>184</v>
      </c>
      <c r="G389" s="15"/>
    </row>
    <row r="390" customFormat="false" ht="15" hidden="false" customHeight="false" outlineLevel="0" collapsed="false">
      <c r="A390" s="7" t="s">
        <v>46</v>
      </c>
      <c r="B390" s="7" t="s">
        <v>67</v>
      </c>
      <c r="C390" s="7" t="s">
        <v>104</v>
      </c>
      <c r="D390" s="7" t="s">
        <v>157</v>
      </c>
      <c r="E390" s="16" t="str">
        <f aca="false">HYPERLINK("https://www.google.com/maps/search/"&amp;SUBSTITUTE(C390&amp;" "&amp;D390&amp;" "&amp;A390," ","+"),"Open Maps")</f>
        <v>Open Maps</v>
      </c>
      <c r="F390" s="15" t="s">
        <v>184</v>
      </c>
      <c r="G390" s="15"/>
    </row>
    <row r="391" customFormat="false" ht="15" hidden="false" customHeight="false" outlineLevel="0" collapsed="false">
      <c r="A391" s="7" t="s">
        <v>46</v>
      </c>
      <c r="B391" s="7" t="s">
        <v>67</v>
      </c>
      <c r="C391" s="7" t="s">
        <v>104</v>
      </c>
      <c r="D391" s="7" t="s">
        <v>158</v>
      </c>
      <c r="E391" s="16" t="str">
        <f aca="false">HYPERLINK("https://www.google.com/maps/search/"&amp;SUBSTITUTE(C391&amp;" "&amp;D391&amp;" "&amp;A391," ","+"),"Open Maps")</f>
        <v>Open Maps</v>
      </c>
      <c r="F391" s="15" t="s">
        <v>184</v>
      </c>
      <c r="G391" s="15"/>
    </row>
    <row r="392" customFormat="false" ht="15" hidden="false" customHeight="false" outlineLevel="0" collapsed="false">
      <c r="A392" s="7" t="s">
        <v>46</v>
      </c>
      <c r="B392" s="7" t="s">
        <v>67</v>
      </c>
      <c r="C392" s="7" t="s">
        <v>104</v>
      </c>
      <c r="D392" s="7" t="s">
        <v>159</v>
      </c>
      <c r="E392" s="16" t="str">
        <f aca="false">HYPERLINK("https://www.google.com/maps/search/"&amp;SUBSTITUTE(C392&amp;" "&amp;D392&amp;" "&amp;A392," ","+"),"Open Maps")</f>
        <v>Open Maps</v>
      </c>
      <c r="F392" s="15" t="s">
        <v>184</v>
      </c>
      <c r="G392" s="15"/>
    </row>
    <row r="393" customFormat="false" ht="15" hidden="false" customHeight="false" outlineLevel="0" collapsed="false">
      <c r="A393" s="7" t="s">
        <v>46</v>
      </c>
      <c r="B393" s="7" t="s">
        <v>67</v>
      </c>
      <c r="C393" s="7" t="s">
        <v>105</v>
      </c>
      <c r="D393" s="7" t="s">
        <v>156</v>
      </c>
      <c r="E393" s="16" t="str">
        <f aca="false">HYPERLINK("https://www.google.com/maps/search/"&amp;SUBSTITUTE(C393&amp;" "&amp;D393&amp;" "&amp;A393," ","+"),"Open Maps")</f>
        <v>Open Maps</v>
      </c>
      <c r="F393" s="15" t="s">
        <v>184</v>
      </c>
      <c r="G393" s="15"/>
    </row>
    <row r="394" customFormat="false" ht="15" hidden="false" customHeight="false" outlineLevel="0" collapsed="false">
      <c r="A394" s="7" t="s">
        <v>46</v>
      </c>
      <c r="B394" s="7" t="s">
        <v>67</v>
      </c>
      <c r="C394" s="7" t="s">
        <v>105</v>
      </c>
      <c r="D394" s="7" t="s">
        <v>157</v>
      </c>
      <c r="E394" s="16" t="str">
        <f aca="false">HYPERLINK("https://www.google.com/maps/search/"&amp;SUBSTITUTE(C394&amp;" "&amp;D394&amp;" "&amp;A394," ","+"),"Open Maps")</f>
        <v>Open Maps</v>
      </c>
      <c r="F394" s="15" t="s">
        <v>184</v>
      </c>
      <c r="G394" s="15"/>
    </row>
    <row r="395" customFormat="false" ht="15" hidden="false" customHeight="false" outlineLevel="0" collapsed="false">
      <c r="A395" s="7" t="s">
        <v>46</v>
      </c>
      <c r="B395" s="7" t="s">
        <v>67</v>
      </c>
      <c r="C395" s="7" t="s">
        <v>105</v>
      </c>
      <c r="D395" s="7" t="s">
        <v>158</v>
      </c>
      <c r="E395" s="16" t="str">
        <f aca="false">HYPERLINK("https://www.google.com/maps/search/"&amp;SUBSTITUTE(C395&amp;" "&amp;D395&amp;" "&amp;A395," ","+"),"Open Maps")</f>
        <v>Open Maps</v>
      </c>
      <c r="F395" s="15" t="s">
        <v>184</v>
      </c>
      <c r="G395" s="15"/>
    </row>
    <row r="396" customFormat="false" ht="15" hidden="false" customHeight="false" outlineLevel="0" collapsed="false">
      <c r="A396" s="7" t="s">
        <v>46</v>
      </c>
      <c r="B396" s="7" t="s">
        <v>67</v>
      </c>
      <c r="C396" s="7" t="s">
        <v>105</v>
      </c>
      <c r="D396" s="7" t="s">
        <v>159</v>
      </c>
      <c r="E396" s="16" t="str">
        <f aca="false">HYPERLINK("https://www.google.com/maps/search/"&amp;SUBSTITUTE(C396&amp;" "&amp;D396&amp;" "&amp;A396," ","+"),"Open Maps")</f>
        <v>Open Maps</v>
      </c>
      <c r="F396" s="15" t="s">
        <v>184</v>
      </c>
      <c r="G396" s="15"/>
    </row>
    <row r="397" customFormat="false" ht="15" hidden="false" customHeight="false" outlineLevel="0" collapsed="false">
      <c r="A397" s="7" t="s">
        <v>46</v>
      </c>
      <c r="B397" s="7" t="s">
        <v>67</v>
      </c>
      <c r="C397" s="7" t="s">
        <v>106</v>
      </c>
      <c r="D397" s="7" t="s">
        <v>156</v>
      </c>
      <c r="E397" s="16" t="str">
        <f aca="false">HYPERLINK("https://www.google.com/maps/search/"&amp;SUBSTITUTE(C397&amp;" "&amp;D397&amp;" "&amp;A397," ","+"),"Open Maps")</f>
        <v>Open Maps</v>
      </c>
      <c r="F397" s="15" t="s">
        <v>184</v>
      </c>
      <c r="G397" s="15"/>
    </row>
    <row r="398" customFormat="false" ht="15" hidden="false" customHeight="false" outlineLevel="0" collapsed="false">
      <c r="A398" s="7" t="s">
        <v>46</v>
      </c>
      <c r="B398" s="7" t="s">
        <v>67</v>
      </c>
      <c r="C398" s="7" t="s">
        <v>106</v>
      </c>
      <c r="D398" s="7" t="s">
        <v>157</v>
      </c>
      <c r="E398" s="16" t="str">
        <f aca="false">HYPERLINK("https://www.google.com/maps/search/"&amp;SUBSTITUTE(C398&amp;" "&amp;D398&amp;" "&amp;A398," ","+"),"Open Maps")</f>
        <v>Open Maps</v>
      </c>
      <c r="F398" s="15" t="s">
        <v>184</v>
      </c>
      <c r="G398" s="15"/>
    </row>
    <row r="399" customFormat="false" ht="15" hidden="false" customHeight="false" outlineLevel="0" collapsed="false">
      <c r="A399" s="7" t="s">
        <v>46</v>
      </c>
      <c r="B399" s="7" t="s">
        <v>67</v>
      </c>
      <c r="C399" s="7" t="s">
        <v>106</v>
      </c>
      <c r="D399" s="7" t="s">
        <v>158</v>
      </c>
      <c r="E399" s="16" t="str">
        <f aca="false">HYPERLINK("https://www.google.com/maps/search/"&amp;SUBSTITUTE(C399&amp;" "&amp;D399&amp;" "&amp;A399," ","+"),"Open Maps")</f>
        <v>Open Maps</v>
      </c>
      <c r="F399" s="15" t="s">
        <v>184</v>
      </c>
      <c r="G399" s="15"/>
    </row>
    <row r="400" customFormat="false" ht="15" hidden="false" customHeight="false" outlineLevel="0" collapsed="false">
      <c r="A400" s="7" t="s">
        <v>46</v>
      </c>
      <c r="B400" s="7" t="s">
        <v>67</v>
      </c>
      <c r="C400" s="7" t="s">
        <v>106</v>
      </c>
      <c r="D400" s="7" t="s">
        <v>159</v>
      </c>
      <c r="E400" s="16" t="str">
        <f aca="false">HYPERLINK("https://www.google.com/maps/search/"&amp;SUBSTITUTE(C400&amp;" "&amp;D400&amp;" "&amp;A400," ","+"),"Open Maps")</f>
        <v>Open Maps</v>
      </c>
      <c r="F400" s="15" t="s">
        <v>184</v>
      </c>
      <c r="G400" s="15"/>
    </row>
    <row r="401" customFormat="false" ht="15" hidden="false" customHeight="false" outlineLevel="0" collapsed="false">
      <c r="A401" s="7" t="s">
        <v>46</v>
      </c>
      <c r="B401" s="7" t="s">
        <v>67</v>
      </c>
      <c r="C401" s="7" t="s">
        <v>107</v>
      </c>
      <c r="D401" s="7" t="s">
        <v>156</v>
      </c>
      <c r="E401" s="16" t="str">
        <f aca="false">HYPERLINK("https://www.google.com/maps/search/"&amp;SUBSTITUTE(C401&amp;" "&amp;D401&amp;" "&amp;A401," ","+"),"Open Maps")</f>
        <v>Open Maps</v>
      </c>
      <c r="F401" s="15" t="s">
        <v>184</v>
      </c>
      <c r="G401" s="15"/>
    </row>
    <row r="402" customFormat="false" ht="15" hidden="false" customHeight="false" outlineLevel="0" collapsed="false">
      <c r="A402" s="7" t="s">
        <v>46</v>
      </c>
      <c r="B402" s="7" t="s">
        <v>67</v>
      </c>
      <c r="C402" s="7" t="s">
        <v>107</v>
      </c>
      <c r="D402" s="7" t="s">
        <v>157</v>
      </c>
      <c r="E402" s="16" t="str">
        <f aca="false">HYPERLINK("https://www.google.com/maps/search/"&amp;SUBSTITUTE(C402&amp;" "&amp;D402&amp;" "&amp;A402," ","+"),"Open Maps")</f>
        <v>Open Maps</v>
      </c>
      <c r="F402" s="15" t="s">
        <v>184</v>
      </c>
      <c r="G402" s="15"/>
    </row>
    <row r="403" customFormat="false" ht="15" hidden="false" customHeight="false" outlineLevel="0" collapsed="false">
      <c r="A403" s="7" t="s">
        <v>46</v>
      </c>
      <c r="B403" s="7" t="s">
        <v>67</v>
      </c>
      <c r="C403" s="7" t="s">
        <v>107</v>
      </c>
      <c r="D403" s="7" t="s">
        <v>158</v>
      </c>
      <c r="E403" s="16" t="str">
        <f aca="false">HYPERLINK("https://www.google.com/maps/search/"&amp;SUBSTITUTE(C403&amp;" "&amp;D403&amp;" "&amp;A403," ","+"),"Open Maps")</f>
        <v>Open Maps</v>
      </c>
      <c r="F403" s="15" t="s">
        <v>184</v>
      </c>
      <c r="G403" s="15"/>
    </row>
    <row r="404" customFormat="false" ht="15" hidden="false" customHeight="false" outlineLevel="0" collapsed="false">
      <c r="A404" s="7" t="s">
        <v>46</v>
      </c>
      <c r="B404" s="7" t="s">
        <v>67</v>
      </c>
      <c r="C404" s="7" t="s">
        <v>107</v>
      </c>
      <c r="D404" s="7" t="s">
        <v>159</v>
      </c>
      <c r="E404" s="16" t="str">
        <f aca="false">HYPERLINK("https://www.google.com/maps/search/"&amp;SUBSTITUTE(C404&amp;" "&amp;D404&amp;" "&amp;A404," ","+"),"Open Maps")</f>
        <v>Open Maps</v>
      </c>
      <c r="F404" s="15" t="s">
        <v>184</v>
      </c>
      <c r="G404" s="15"/>
    </row>
    <row r="405" customFormat="false" ht="15" hidden="false" customHeight="false" outlineLevel="0" collapsed="false">
      <c r="A405" s="7" t="s">
        <v>46</v>
      </c>
      <c r="B405" s="7" t="s">
        <v>67</v>
      </c>
      <c r="C405" s="7" t="s">
        <v>108</v>
      </c>
      <c r="D405" s="7" t="s">
        <v>156</v>
      </c>
      <c r="E405" s="16" t="str">
        <f aca="false">HYPERLINK("https://www.google.com/maps/search/"&amp;SUBSTITUTE(C405&amp;" "&amp;D405&amp;" "&amp;A405," ","+"),"Open Maps")</f>
        <v>Open Maps</v>
      </c>
      <c r="F405" s="15" t="s">
        <v>184</v>
      </c>
      <c r="G405" s="15"/>
    </row>
    <row r="406" customFormat="false" ht="15" hidden="false" customHeight="false" outlineLevel="0" collapsed="false">
      <c r="A406" s="7" t="s">
        <v>46</v>
      </c>
      <c r="B406" s="7" t="s">
        <v>67</v>
      </c>
      <c r="C406" s="7" t="s">
        <v>108</v>
      </c>
      <c r="D406" s="7" t="s">
        <v>157</v>
      </c>
      <c r="E406" s="16" t="str">
        <f aca="false">HYPERLINK("https://www.google.com/maps/search/"&amp;SUBSTITUTE(C406&amp;" "&amp;D406&amp;" "&amp;A406," ","+"),"Open Maps")</f>
        <v>Open Maps</v>
      </c>
      <c r="F406" s="15" t="s">
        <v>184</v>
      </c>
      <c r="G406" s="15"/>
    </row>
    <row r="407" customFormat="false" ht="15" hidden="false" customHeight="false" outlineLevel="0" collapsed="false">
      <c r="A407" s="7" t="s">
        <v>46</v>
      </c>
      <c r="B407" s="7" t="s">
        <v>67</v>
      </c>
      <c r="C407" s="7" t="s">
        <v>108</v>
      </c>
      <c r="D407" s="7" t="s">
        <v>158</v>
      </c>
      <c r="E407" s="16" t="str">
        <f aca="false">HYPERLINK("https://www.google.com/maps/search/"&amp;SUBSTITUTE(C407&amp;" "&amp;D407&amp;" "&amp;A407," ","+"),"Open Maps")</f>
        <v>Open Maps</v>
      </c>
      <c r="F407" s="15" t="s">
        <v>184</v>
      </c>
      <c r="G407" s="15"/>
    </row>
    <row r="408" customFormat="false" ht="15" hidden="false" customHeight="false" outlineLevel="0" collapsed="false">
      <c r="A408" s="7" t="s">
        <v>46</v>
      </c>
      <c r="B408" s="7" t="s">
        <v>67</v>
      </c>
      <c r="C408" s="7" t="s">
        <v>108</v>
      </c>
      <c r="D408" s="7" t="s">
        <v>159</v>
      </c>
      <c r="E408" s="16" t="str">
        <f aca="false">HYPERLINK("https://www.google.com/maps/search/"&amp;SUBSTITUTE(C408&amp;" "&amp;D408&amp;" "&amp;A408," ","+"),"Open Maps")</f>
        <v>Open Maps</v>
      </c>
      <c r="F408" s="15" t="s">
        <v>184</v>
      </c>
      <c r="G408" s="15"/>
    </row>
    <row r="409" customFormat="false" ht="15" hidden="false" customHeight="false" outlineLevel="0" collapsed="false">
      <c r="A409" s="7" t="s">
        <v>46</v>
      </c>
      <c r="B409" s="7" t="s">
        <v>67</v>
      </c>
      <c r="C409" s="7" t="s">
        <v>109</v>
      </c>
      <c r="D409" s="7" t="s">
        <v>156</v>
      </c>
      <c r="E409" s="16" t="str">
        <f aca="false">HYPERLINK("https://www.google.com/maps/search/"&amp;SUBSTITUTE(C409&amp;" "&amp;D409&amp;" "&amp;A409," ","+"),"Open Maps")</f>
        <v>Open Maps</v>
      </c>
      <c r="F409" s="15" t="s">
        <v>184</v>
      </c>
      <c r="G409" s="15"/>
    </row>
    <row r="410" customFormat="false" ht="15" hidden="false" customHeight="false" outlineLevel="0" collapsed="false">
      <c r="A410" s="7" t="s">
        <v>46</v>
      </c>
      <c r="B410" s="7" t="s">
        <v>67</v>
      </c>
      <c r="C410" s="7" t="s">
        <v>109</v>
      </c>
      <c r="D410" s="7" t="s">
        <v>157</v>
      </c>
      <c r="E410" s="16" t="str">
        <f aca="false">HYPERLINK("https://www.google.com/maps/search/"&amp;SUBSTITUTE(C410&amp;" "&amp;D410&amp;" "&amp;A410," ","+"),"Open Maps")</f>
        <v>Open Maps</v>
      </c>
      <c r="F410" s="15" t="s">
        <v>184</v>
      </c>
      <c r="G410" s="15"/>
    </row>
    <row r="411" customFormat="false" ht="15" hidden="false" customHeight="false" outlineLevel="0" collapsed="false">
      <c r="A411" s="7" t="s">
        <v>46</v>
      </c>
      <c r="B411" s="7" t="s">
        <v>67</v>
      </c>
      <c r="C411" s="7" t="s">
        <v>109</v>
      </c>
      <c r="D411" s="7" t="s">
        <v>158</v>
      </c>
      <c r="E411" s="16" t="str">
        <f aca="false">HYPERLINK("https://www.google.com/maps/search/"&amp;SUBSTITUTE(C411&amp;" "&amp;D411&amp;" "&amp;A411," ","+"),"Open Maps")</f>
        <v>Open Maps</v>
      </c>
      <c r="F411" s="15" t="s">
        <v>184</v>
      </c>
      <c r="G411" s="15"/>
    </row>
    <row r="412" customFormat="false" ht="15" hidden="false" customHeight="false" outlineLevel="0" collapsed="false">
      <c r="A412" s="7" t="s">
        <v>46</v>
      </c>
      <c r="B412" s="7" t="s">
        <v>67</v>
      </c>
      <c r="C412" s="7" t="s">
        <v>109</v>
      </c>
      <c r="D412" s="7" t="s">
        <v>159</v>
      </c>
      <c r="E412" s="16" t="str">
        <f aca="false">HYPERLINK("https://www.google.com/maps/search/"&amp;SUBSTITUTE(C412&amp;" "&amp;D412&amp;" "&amp;A412," ","+"),"Open Maps")</f>
        <v>Open Maps</v>
      </c>
      <c r="F412" s="15" t="s">
        <v>184</v>
      </c>
      <c r="G412" s="15"/>
    </row>
    <row r="413" customFormat="false" ht="15" hidden="false" customHeight="false" outlineLevel="0" collapsed="false">
      <c r="A413" s="7" t="s">
        <v>46</v>
      </c>
      <c r="B413" s="7" t="s">
        <v>67</v>
      </c>
      <c r="C413" s="7" t="s">
        <v>110</v>
      </c>
      <c r="D413" s="7" t="s">
        <v>156</v>
      </c>
      <c r="E413" s="16" t="str">
        <f aca="false">HYPERLINK("https://www.google.com/maps/search/"&amp;SUBSTITUTE(C413&amp;" "&amp;D413&amp;" "&amp;A413," ","+"),"Open Maps")</f>
        <v>Open Maps</v>
      </c>
      <c r="F413" s="15" t="s">
        <v>184</v>
      </c>
      <c r="G413" s="15"/>
    </row>
    <row r="414" customFormat="false" ht="15" hidden="false" customHeight="false" outlineLevel="0" collapsed="false">
      <c r="A414" s="7" t="s">
        <v>46</v>
      </c>
      <c r="B414" s="7" t="s">
        <v>67</v>
      </c>
      <c r="C414" s="7" t="s">
        <v>110</v>
      </c>
      <c r="D414" s="7" t="s">
        <v>157</v>
      </c>
      <c r="E414" s="16" t="str">
        <f aca="false">HYPERLINK("https://www.google.com/maps/search/"&amp;SUBSTITUTE(C414&amp;" "&amp;D414&amp;" "&amp;A414," ","+"),"Open Maps")</f>
        <v>Open Maps</v>
      </c>
      <c r="F414" s="15" t="s">
        <v>184</v>
      </c>
      <c r="G414" s="15"/>
    </row>
    <row r="415" customFormat="false" ht="15" hidden="false" customHeight="false" outlineLevel="0" collapsed="false">
      <c r="A415" s="7" t="s">
        <v>46</v>
      </c>
      <c r="B415" s="7" t="s">
        <v>67</v>
      </c>
      <c r="C415" s="7" t="s">
        <v>110</v>
      </c>
      <c r="D415" s="7" t="s">
        <v>158</v>
      </c>
      <c r="E415" s="16" t="str">
        <f aca="false">HYPERLINK("https://www.google.com/maps/search/"&amp;SUBSTITUTE(C415&amp;" "&amp;D415&amp;" "&amp;A415," ","+"),"Open Maps")</f>
        <v>Open Maps</v>
      </c>
      <c r="F415" s="15" t="s">
        <v>184</v>
      </c>
      <c r="G415" s="15"/>
    </row>
    <row r="416" customFormat="false" ht="15" hidden="false" customHeight="false" outlineLevel="0" collapsed="false">
      <c r="A416" s="7" t="s">
        <v>46</v>
      </c>
      <c r="B416" s="7" t="s">
        <v>67</v>
      </c>
      <c r="C416" s="7" t="s">
        <v>110</v>
      </c>
      <c r="D416" s="7" t="s">
        <v>159</v>
      </c>
      <c r="E416" s="16" t="str">
        <f aca="false">HYPERLINK("https://www.google.com/maps/search/"&amp;SUBSTITUTE(C416&amp;" "&amp;D416&amp;" "&amp;A416," ","+"),"Open Maps")</f>
        <v>Open Maps</v>
      </c>
      <c r="F416" s="15" t="s">
        <v>184</v>
      </c>
      <c r="G416" s="15"/>
    </row>
    <row r="417" customFormat="false" ht="15" hidden="false" customHeight="false" outlineLevel="0" collapsed="false">
      <c r="A417" s="7" t="s">
        <v>46</v>
      </c>
      <c r="B417" s="7" t="s">
        <v>76</v>
      </c>
      <c r="C417" s="7" t="s">
        <v>77</v>
      </c>
      <c r="D417" s="7" t="s">
        <v>156</v>
      </c>
      <c r="E417" s="16" t="str">
        <f aca="false">HYPERLINK("https://www.google.com/maps/search/"&amp;SUBSTITUTE(C417&amp;" "&amp;D417&amp;" "&amp;A417," ","+"),"Open Maps")</f>
        <v>Open Maps</v>
      </c>
      <c r="F417" s="15" t="s">
        <v>184</v>
      </c>
      <c r="G417" s="15"/>
    </row>
    <row r="418" customFormat="false" ht="15" hidden="false" customHeight="false" outlineLevel="0" collapsed="false">
      <c r="A418" s="7" t="s">
        <v>46</v>
      </c>
      <c r="B418" s="7" t="s">
        <v>76</v>
      </c>
      <c r="C418" s="7" t="s">
        <v>77</v>
      </c>
      <c r="D418" s="7" t="s">
        <v>157</v>
      </c>
      <c r="E418" s="16" t="str">
        <f aca="false">HYPERLINK("https://www.google.com/maps/search/"&amp;SUBSTITUTE(C418&amp;" "&amp;D418&amp;" "&amp;A418," ","+"),"Open Maps")</f>
        <v>Open Maps</v>
      </c>
      <c r="F418" s="15" t="s">
        <v>184</v>
      </c>
      <c r="G418" s="15"/>
    </row>
    <row r="419" customFormat="false" ht="15" hidden="false" customHeight="false" outlineLevel="0" collapsed="false">
      <c r="A419" s="7" t="s">
        <v>46</v>
      </c>
      <c r="B419" s="7" t="s">
        <v>76</v>
      </c>
      <c r="C419" s="7" t="s">
        <v>77</v>
      </c>
      <c r="D419" s="7" t="s">
        <v>158</v>
      </c>
      <c r="E419" s="16" t="str">
        <f aca="false">HYPERLINK("https://www.google.com/maps/search/"&amp;SUBSTITUTE(C419&amp;" "&amp;D419&amp;" "&amp;A419," ","+"),"Open Maps")</f>
        <v>Open Maps</v>
      </c>
      <c r="F419" s="15" t="s">
        <v>184</v>
      </c>
      <c r="G419" s="15"/>
    </row>
    <row r="420" customFormat="false" ht="15" hidden="false" customHeight="false" outlineLevel="0" collapsed="false">
      <c r="A420" s="7" t="s">
        <v>46</v>
      </c>
      <c r="B420" s="7" t="s">
        <v>76</v>
      </c>
      <c r="C420" s="7" t="s">
        <v>77</v>
      </c>
      <c r="D420" s="7" t="s">
        <v>159</v>
      </c>
      <c r="E420" s="16" t="str">
        <f aca="false">HYPERLINK("https://www.google.com/maps/search/"&amp;SUBSTITUTE(C420&amp;" "&amp;D420&amp;" "&amp;A420," ","+"),"Open Maps")</f>
        <v>Open Maps</v>
      </c>
      <c r="F420" s="15" t="s">
        <v>184</v>
      </c>
      <c r="G420" s="15"/>
    </row>
    <row r="421" customFormat="false" ht="15" hidden="false" customHeight="false" outlineLevel="0" collapsed="false">
      <c r="A421" s="7" t="s">
        <v>48</v>
      </c>
      <c r="B421" s="7" t="s">
        <v>64</v>
      </c>
      <c r="C421" s="7" t="s">
        <v>79</v>
      </c>
      <c r="D421" s="7" t="s">
        <v>160</v>
      </c>
      <c r="E421" s="16" t="str">
        <f aca="false">HYPERLINK("https://www.google.com/maps/search/"&amp;SUBSTITUTE(C421&amp;" "&amp;D421&amp;" "&amp;A421," ","+"),"Open Maps")</f>
        <v>Open Maps</v>
      </c>
      <c r="F421" s="15" t="s">
        <v>184</v>
      </c>
      <c r="G421" s="15"/>
    </row>
    <row r="422" customFormat="false" ht="15" hidden="false" customHeight="false" outlineLevel="0" collapsed="false">
      <c r="A422" s="7" t="s">
        <v>48</v>
      </c>
      <c r="B422" s="7" t="s">
        <v>64</v>
      </c>
      <c r="C422" s="7" t="s">
        <v>79</v>
      </c>
      <c r="D422" s="7" t="s">
        <v>161</v>
      </c>
      <c r="E422" s="16" t="str">
        <f aca="false">HYPERLINK("https://www.google.com/maps/search/"&amp;SUBSTITUTE(C422&amp;" "&amp;D422&amp;" "&amp;A422," ","+"),"Open Maps")</f>
        <v>Open Maps</v>
      </c>
      <c r="F422" s="15" t="s">
        <v>184</v>
      </c>
      <c r="G422" s="15"/>
    </row>
    <row r="423" customFormat="false" ht="15" hidden="false" customHeight="false" outlineLevel="0" collapsed="false">
      <c r="A423" s="7" t="s">
        <v>48</v>
      </c>
      <c r="B423" s="7" t="s">
        <v>64</v>
      </c>
      <c r="C423" s="7" t="s">
        <v>79</v>
      </c>
      <c r="D423" s="7" t="s">
        <v>162</v>
      </c>
      <c r="E423" s="16" t="str">
        <f aca="false">HYPERLINK("https://www.google.com/maps/search/"&amp;SUBSTITUTE(C423&amp;" "&amp;D423&amp;" "&amp;A423," ","+"),"Open Maps")</f>
        <v>Open Maps</v>
      </c>
      <c r="F423" s="15" t="s">
        <v>184</v>
      </c>
      <c r="G423" s="15"/>
    </row>
    <row r="424" customFormat="false" ht="15" hidden="false" customHeight="false" outlineLevel="0" collapsed="false">
      <c r="A424" s="7" t="s">
        <v>48</v>
      </c>
      <c r="B424" s="7" t="s">
        <v>67</v>
      </c>
      <c r="C424" s="7" t="s">
        <v>80</v>
      </c>
      <c r="D424" s="7" t="s">
        <v>160</v>
      </c>
      <c r="E424" s="16" t="str">
        <f aca="false">HYPERLINK("https://www.google.com/maps/search/"&amp;SUBSTITUTE(C424&amp;" "&amp;D424&amp;" "&amp;A424," ","+"),"Open Maps")</f>
        <v>Open Maps</v>
      </c>
      <c r="F424" s="15" t="s">
        <v>184</v>
      </c>
      <c r="G424" s="15"/>
    </row>
    <row r="425" customFormat="false" ht="15" hidden="false" customHeight="false" outlineLevel="0" collapsed="false">
      <c r="A425" s="7" t="s">
        <v>48</v>
      </c>
      <c r="B425" s="7" t="s">
        <v>67</v>
      </c>
      <c r="C425" s="7" t="s">
        <v>80</v>
      </c>
      <c r="D425" s="7" t="s">
        <v>161</v>
      </c>
      <c r="E425" s="16" t="str">
        <f aca="false">HYPERLINK("https://www.google.com/maps/search/"&amp;SUBSTITUTE(C425&amp;" "&amp;D425&amp;" "&amp;A425," ","+"),"Open Maps")</f>
        <v>Open Maps</v>
      </c>
      <c r="F425" s="15" t="s">
        <v>184</v>
      </c>
      <c r="G425" s="15"/>
    </row>
    <row r="426" customFormat="false" ht="15" hidden="false" customHeight="false" outlineLevel="0" collapsed="false">
      <c r="A426" s="7" t="s">
        <v>48</v>
      </c>
      <c r="B426" s="7" t="s">
        <v>67</v>
      </c>
      <c r="C426" s="7" t="s">
        <v>80</v>
      </c>
      <c r="D426" s="7" t="s">
        <v>162</v>
      </c>
      <c r="E426" s="16" t="str">
        <f aca="false">HYPERLINK("https://www.google.com/maps/search/"&amp;SUBSTITUTE(C426&amp;" "&amp;D426&amp;" "&amp;A426," ","+"),"Open Maps")</f>
        <v>Open Maps</v>
      </c>
      <c r="F426" s="15" t="s">
        <v>184</v>
      </c>
      <c r="G426" s="15"/>
    </row>
    <row r="427" customFormat="false" ht="15" hidden="false" customHeight="false" outlineLevel="0" collapsed="false">
      <c r="A427" s="7" t="s">
        <v>48</v>
      </c>
      <c r="B427" s="7" t="s">
        <v>67</v>
      </c>
      <c r="C427" s="7" t="s">
        <v>81</v>
      </c>
      <c r="D427" s="7" t="s">
        <v>160</v>
      </c>
      <c r="E427" s="16" t="str">
        <f aca="false">HYPERLINK("https://www.google.com/maps/search/"&amp;SUBSTITUTE(C427&amp;" "&amp;D427&amp;" "&amp;A427," ","+"),"Open Maps")</f>
        <v>Open Maps</v>
      </c>
      <c r="F427" s="15" t="s">
        <v>184</v>
      </c>
      <c r="G427" s="15"/>
    </row>
    <row r="428" customFormat="false" ht="15" hidden="false" customHeight="false" outlineLevel="0" collapsed="false">
      <c r="A428" s="7" t="s">
        <v>48</v>
      </c>
      <c r="B428" s="7" t="s">
        <v>67</v>
      </c>
      <c r="C428" s="7" t="s">
        <v>81</v>
      </c>
      <c r="D428" s="7" t="s">
        <v>161</v>
      </c>
      <c r="E428" s="16" t="str">
        <f aca="false">HYPERLINK("https://www.google.com/maps/search/"&amp;SUBSTITUTE(C428&amp;" "&amp;D428&amp;" "&amp;A428," ","+"),"Open Maps")</f>
        <v>Open Maps</v>
      </c>
      <c r="F428" s="15" t="s">
        <v>184</v>
      </c>
      <c r="G428" s="15"/>
    </row>
    <row r="429" customFormat="false" ht="15" hidden="false" customHeight="false" outlineLevel="0" collapsed="false">
      <c r="A429" s="7" t="s">
        <v>48</v>
      </c>
      <c r="B429" s="7" t="s">
        <v>67</v>
      </c>
      <c r="C429" s="7" t="s">
        <v>81</v>
      </c>
      <c r="D429" s="7" t="s">
        <v>162</v>
      </c>
      <c r="E429" s="16" t="str">
        <f aca="false">HYPERLINK("https://www.google.com/maps/search/"&amp;SUBSTITUTE(C429&amp;" "&amp;D429&amp;" "&amp;A429," ","+"),"Open Maps")</f>
        <v>Open Maps</v>
      </c>
      <c r="F429" s="15" t="s">
        <v>184</v>
      </c>
      <c r="G429" s="15"/>
    </row>
    <row r="430" customFormat="false" ht="15" hidden="false" customHeight="false" outlineLevel="0" collapsed="false">
      <c r="A430" s="7" t="s">
        <v>48</v>
      </c>
      <c r="B430" s="7" t="s">
        <v>67</v>
      </c>
      <c r="C430" s="7" t="s">
        <v>82</v>
      </c>
      <c r="D430" s="7" t="s">
        <v>160</v>
      </c>
      <c r="E430" s="16" t="str">
        <f aca="false">HYPERLINK("https://www.google.com/maps/search/"&amp;SUBSTITUTE(C430&amp;" "&amp;D430&amp;" "&amp;A430," ","+"),"Open Maps")</f>
        <v>Open Maps</v>
      </c>
      <c r="F430" s="15" t="s">
        <v>184</v>
      </c>
      <c r="G430" s="15"/>
    </row>
    <row r="431" customFormat="false" ht="15" hidden="false" customHeight="false" outlineLevel="0" collapsed="false">
      <c r="A431" s="7" t="s">
        <v>48</v>
      </c>
      <c r="B431" s="7" t="s">
        <v>67</v>
      </c>
      <c r="C431" s="7" t="s">
        <v>82</v>
      </c>
      <c r="D431" s="7" t="s">
        <v>161</v>
      </c>
      <c r="E431" s="16" t="str">
        <f aca="false">HYPERLINK("https://www.google.com/maps/search/"&amp;SUBSTITUTE(C431&amp;" "&amp;D431&amp;" "&amp;A431," ","+"),"Open Maps")</f>
        <v>Open Maps</v>
      </c>
      <c r="F431" s="15" t="s">
        <v>184</v>
      </c>
      <c r="G431" s="15"/>
    </row>
    <row r="432" customFormat="false" ht="15" hidden="false" customHeight="false" outlineLevel="0" collapsed="false">
      <c r="A432" s="7" t="s">
        <v>48</v>
      </c>
      <c r="B432" s="7" t="s">
        <v>67</v>
      </c>
      <c r="C432" s="7" t="s">
        <v>82</v>
      </c>
      <c r="D432" s="7" t="s">
        <v>162</v>
      </c>
      <c r="E432" s="16" t="str">
        <f aca="false">HYPERLINK("https://www.google.com/maps/search/"&amp;SUBSTITUTE(C432&amp;" "&amp;D432&amp;" "&amp;A432," ","+"),"Open Maps")</f>
        <v>Open Maps</v>
      </c>
      <c r="F432" s="15" t="s">
        <v>184</v>
      </c>
      <c r="G432" s="15"/>
    </row>
    <row r="433" customFormat="false" ht="15" hidden="false" customHeight="false" outlineLevel="0" collapsed="false">
      <c r="A433" s="7" t="s">
        <v>48</v>
      </c>
      <c r="B433" s="7" t="s">
        <v>67</v>
      </c>
      <c r="C433" s="7" t="s">
        <v>83</v>
      </c>
      <c r="D433" s="7" t="s">
        <v>160</v>
      </c>
      <c r="E433" s="16" t="str">
        <f aca="false">HYPERLINK("https://www.google.com/maps/search/"&amp;SUBSTITUTE(C433&amp;" "&amp;D433&amp;" "&amp;A433," ","+"),"Open Maps")</f>
        <v>Open Maps</v>
      </c>
      <c r="F433" s="15" t="s">
        <v>184</v>
      </c>
      <c r="G433" s="15"/>
    </row>
    <row r="434" customFormat="false" ht="15" hidden="false" customHeight="false" outlineLevel="0" collapsed="false">
      <c r="A434" s="7" t="s">
        <v>48</v>
      </c>
      <c r="B434" s="7" t="s">
        <v>67</v>
      </c>
      <c r="C434" s="7" t="s">
        <v>83</v>
      </c>
      <c r="D434" s="7" t="s">
        <v>161</v>
      </c>
      <c r="E434" s="16" t="str">
        <f aca="false">HYPERLINK("https://www.google.com/maps/search/"&amp;SUBSTITUTE(C434&amp;" "&amp;D434&amp;" "&amp;A434," ","+"),"Open Maps")</f>
        <v>Open Maps</v>
      </c>
      <c r="F434" s="15" t="s">
        <v>184</v>
      </c>
      <c r="G434" s="15"/>
    </row>
    <row r="435" customFormat="false" ht="15" hidden="false" customHeight="false" outlineLevel="0" collapsed="false">
      <c r="A435" s="7" t="s">
        <v>48</v>
      </c>
      <c r="B435" s="7" t="s">
        <v>67</v>
      </c>
      <c r="C435" s="7" t="s">
        <v>83</v>
      </c>
      <c r="D435" s="7" t="s">
        <v>162</v>
      </c>
      <c r="E435" s="16" t="str">
        <f aca="false">HYPERLINK("https://www.google.com/maps/search/"&amp;SUBSTITUTE(C435&amp;" "&amp;D435&amp;" "&amp;A435," ","+"),"Open Maps")</f>
        <v>Open Maps</v>
      </c>
      <c r="F435" s="15" t="s">
        <v>184</v>
      </c>
      <c r="G435" s="15"/>
    </row>
    <row r="436" customFormat="false" ht="15" hidden="false" customHeight="false" outlineLevel="0" collapsed="false">
      <c r="A436" s="7" t="s">
        <v>48</v>
      </c>
      <c r="B436" s="7" t="s">
        <v>67</v>
      </c>
      <c r="C436" s="7" t="s">
        <v>84</v>
      </c>
      <c r="D436" s="7" t="s">
        <v>160</v>
      </c>
      <c r="E436" s="16" t="str">
        <f aca="false">HYPERLINK("https://www.google.com/maps/search/"&amp;SUBSTITUTE(C436&amp;" "&amp;D436&amp;" "&amp;A436," ","+"),"Open Maps")</f>
        <v>Open Maps</v>
      </c>
      <c r="F436" s="15" t="s">
        <v>184</v>
      </c>
      <c r="G436" s="15"/>
    </row>
    <row r="437" customFormat="false" ht="15" hidden="false" customHeight="false" outlineLevel="0" collapsed="false">
      <c r="A437" s="7" t="s">
        <v>48</v>
      </c>
      <c r="B437" s="7" t="s">
        <v>67</v>
      </c>
      <c r="C437" s="7" t="s">
        <v>84</v>
      </c>
      <c r="D437" s="7" t="s">
        <v>161</v>
      </c>
      <c r="E437" s="16" t="str">
        <f aca="false">HYPERLINK("https://www.google.com/maps/search/"&amp;SUBSTITUTE(C437&amp;" "&amp;D437&amp;" "&amp;A437," ","+"),"Open Maps")</f>
        <v>Open Maps</v>
      </c>
      <c r="F437" s="15" t="s">
        <v>184</v>
      </c>
      <c r="G437" s="15"/>
    </row>
    <row r="438" customFormat="false" ht="15" hidden="false" customHeight="false" outlineLevel="0" collapsed="false">
      <c r="A438" s="7" t="s">
        <v>48</v>
      </c>
      <c r="B438" s="7" t="s">
        <v>67</v>
      </c>
      <c r="C438" s="7" t="s">
        <v>84</v>
      </c>
      <c r="D438" s="7" t="s">
        <v>162</v>
      </c>
      <c r="E438" s="16" t="str">
        <f aca="false">HYPERLINK("https://www.google.com/maps/search/"&amp;SUBSTITUTE(C438&amp;" "&amp;D438&amp;" "&amp;A438," ","+"),"Open Maps")</f>
        <v>Open Maps</v>
      </c>
      <c r="F438" s="15" t="s">
        <v>184</v>
      </c>
      <c r="G438" s="15"/>
    </row>
    <row r="439" customFormat="false" ht="15" hidden="false" customHeight="false" outlineLevel="0" collapsed="false">
      <c r="A439" s="7" t="s">
        <v>48</v>
      </c>
      <c r="B439" s="7" t="s">
        <v>67</v>
      </c>
      <c r="C439" s="7" t="s">
        <v>85</v>
      </c>
      <c r="D439" s="7" t="s">
        <v>160</v>
      </c>
      <c r="E439" s="16" t="str">
        <f aca="false">HYPERLINK("https://www.google.com/maps/search/"&amp;SUBSTITUTE(C439&amp;" "&amp;D439&amp;" "&amp;A439," ","+"),"Open Maps")</f>
        <v>Open Maps</v>
      </c>
      <c r="F439" s="15" t="s">
        <v>184</v>
      </c>
      <c r="G439" s="15"/>
    </row>
    <row r="440" customFormat="false" ht="15" hidden="false" customHeight="false" outlineLevel="0" collapsed="false">
      <c r="A440" s="7" t="s">
        <v>48</v>
      </c>
      <c r="B440" s="7" t="s">
        <v>67</v>
      </c>
      <c r="C440" s="7" t="s">
        <v>85</v>
      </c>
      <c r="D440" s="7" t="s">
        <v>161</v>
      </c>
      <c r="E440" s="16" t="str">
        <f aca="false">HYPERLINK("https://www.google.com/maps/search/"&amp;SUBSTITUTE(C440&amp;" "&amp;D440&amp;" "&amp;A440," ","+"),"Open Maps")</f>
        <v>Open Maps</v>
      </c>
      <c r="F440" s="15" t="s">
        <v>184</v>
      </c>
      <c r="G440" s="15"/>
    </row>
    <row r="441" customFormat="false" ht="15" hidden="false" customHeight="false" outlineLevel="0" collapsed="false">
      <c r="A441" s="7" t="s">
        <v>48</v>
      </c>
      <c r="B441" s="7" t="s">
        <v>67</v>
      </c>
      <c r="C441" s="7" t="s">
        <v>85</v>
      </c>
      <c r="D441" s="7" t="s">
        <v>162</v>
      </c>
      <c r="E441" s="16" t="str">
        <f aca="false">HYPERLINK("https://www.google.com/maps/search/"&amp;SUBSTITUTE(C441&amp;" "&amp;D441&amp;" "&amp;A441," ","+"),"Open Maps")</f>
        <v>Open Maps</v>
      </c>
      <c r="F441" s="15" t="s">
        <v>184</v>
      </c>
      <c r="G441" s="15"/>
    </row>
    <row r="442" customFormat="false" ht="15" hidden="false" customHeight="false" outlineLevel="0" collapsed="false">
      <c r="A442" s="7" t="s">
        <v>48</v>
      </c>
      <c r="B442" s="7" t="s">
        <v>67</v>
      </c>
      <c r="C442" s="7" t="s">
        <v>86</v>
      </c>
      <c r="D442" s="7" t="s">
        <v>160</v>
      </c>
      <c r="E442" s="16" t="str">
        <f aca="false">HYPERLINK("https://www.google.com/maps/search/"&amp;SUBSTITUTE(C442&amp;" "&amp;D442&amp;" "&amp;A442," ","+"),"Open Maps")</f>
        <v>Open Maps</v>
      </c>
      <c r="F442" s="15" t="s">
        <v>184</v>
      </c>
      <c r="G442" s="15"/>
    </row>
    <row r="443" customFormat="false" ht="15" hidden="false" customHeight="false" outlineLevel="0" collapsed="false">
      <c r="A443" s="7" t="s">
        <v>48</v>
      </c>
      <c r="B443" s="7" t="s">
        <v>67</v>
      </c>
      <c r="C443" s="7" t="s">
        <v>86</v>
      </c>
      <c r="D443" s="7" t="s">
        <v>161</v>
      </c>
      <c r="E443" s="16" t="str">
        <f aca="false">HYPERLINK("https://www.google.com/maps/search/"&amp;SUBSTITUTE(C443&amp;" "&amp;D443&amp;" "&amp;A443," ","+"),"Open Maps")</f>
        <v>Open Maps</v>
      </c>
      <c r="F443" s="15" t="s">
        <v>184</v>
      </c>
      <c r="G443" s="15"/>
    </row>
    <row r="444" customFormat="false" ht="15" hidden="false" customHeight="false" outlineLevel="0" collapsed="false">
      <c r="A444" s="7" t="s">
        <v>48</v>
      </c>
      <c r="B444" s="7" t="s">
        <v>67</v>
      </c>
      <c r="C444" s="7" t="s">
        <v>86</v>
      </c>
      <c r="D444" s="7" t="s">
        <v>162</v>
      </c>
      <c r="E444" s="16" t="str">
        <f aca="false">HYPERLINK("https://www.google.com/maps/search/"&amp;SUBSTITUTE(C444&amp;" "&amp;D444&amp;" "&amp;A444," ","+"),"Open Maps")</f>
        <v>Open Maps</v>
      </c>
      <c r="F444" s="15" t="s">
        <v>184</v>
      </c>
      <c r="G444" s="15"/>
    </row>
    <row r="445" customFormat="false" ht="15" hidden="false" customHeight="false" outlineLevel="0" collapsed="false">
      <c r="A445" s="7" t="s">
        <v>48</v>
      </c>
      <c r="B445" s="7" t="s">
        <v>76</v>
      </c>
      <c r="C445" s="7" t="s">
        <v>77</v>
      </c>
      <c r="D445" s="7" t="s">
        <v>160</v>
      </c>
      <c r="E445" s="16" t="str">
        <f aca="false">HYPERLINK("https://www.google.com/maps/search/"&amp;SUBSTITUTE(C445&amp;" "&amp;D445&amp;" "&amp;A445," ","+"),"Open Maps")</f>
        <v>Open Maps</v>
      </c>
      <c r="F445" s="15" t="s">
        <v>184</v>
      </c>
      <c r="G445" s="15"/>
    </row>
    <row r="446" customFormat="false" ht="15" hidden="false" customHeight="false" outlineLevel="0" collapsed="false">
      <c r="A446" s="7" t="s">
        <v>48</v>
      </c>
      <c r="B446" s="7" t="s">
        <v>76</v>
      </c>
      <c r="C446" s="7" t="s">
        <v>77</v>
      </c>
      <c r="D446" s="7" t="s">
        <v>161</v>
      </c>
      <c r="E446" s="16" t="str">
        <f aca="false">HYPERLINK("https://www.google.com/maps/search/"&amp;SUBSTITUTE(C446&amp;" "&amp;D446&amp;" "&amp;A446," ","+"),"Open Maps")</f>
        <v>Open Maps</v>
      </c>
      <c r="F446" s="15" t="s">
        <v>184</v>
      </c>
      <c r="G446" s="15"/>
    </row>
    <row r="447" customFormat="false" ht="15" hidden="false" customHeight="false" outlineLevel="0" collapsed="false">
      <c r="A447" s="7" t="s">
        <v>48</v>
      </c>
      <c r="B447" s="7" t="s">
        <v>76</v>
      </c>
      <c r="C447" s="7" t="s">
        <v>77</v>
      </c>
      <c r="D447" s="7" t="s">
        <v>162</v>
      </c>
      <c r="E447" s="16" t="str">
        <f aca="false">HYPERLINK("https://www.google.com/maps/search/"&amp;SUBSTITUTE(C447&amp;" "&amp;D447&amp;" "&amp;A447," ","+"),"Open Maps")</f>
        <v>Open Maps</v>
      </c>
      <c r="F447" s="15" t="s">
        <v>184</v>
      </c>
      <c r="G447" s="15"/>
    </row>
    <row r="448" customFormat="false" ht="15" hidden="false" customHeight="false" outlineLevel="0" collapsed="false">
      <c r="A448" s="7" t="s">
        <v>50</v>
      </c>
      <c r="B448" s="7" t="s">
        <v>64</v>
      </c>
      <c r="C448" s="7" t="s">
        <v>79</v>
      </c>
      <c r="D448" s="7" t="s">
        <v>163</v>
      </c>
      <c r="E448" s="16" t="str">
        <f aca="false">HYPERLINK("https://www.google.com/maps/search/"&amp;SUBSTITUTE(C448&amp;" "&amp;D448&amp;" "&amp;A448," ","+"),"Open Maps")</f>
        <v>Open Maps</v>
      </c>
      <c r="F448" s="15" t="s">
        <v>184</v>
      </c>
      <c r="G448" s="15"/>
    </row>
    <row r="449" customFormat="false" ht="15" hidden="false" customHeight="false" outlineLevel="0" collapsed="false">
      <c r="A449" s="7" t="s">
        <v>50</v>
      </c>
      <c r="B449" s="7" t="s">
        <v>64</v>
      </c>
      <c r="C449" s="7" t="s">
        <v>79</v>
      </c>
      <c r="D449" s="7" t="s">
        <v>164</v>
      </c>
      <c r="E449" s="16" t="str">
        <f aca="false">HYPERLINK("https://www.google.com/maps/search/"&amp;SUBSTITUTE(C449&amp;" "&amp;D449&amp;" "&amp;A449," ","+"),"Open Maps")</f>
        <v>Open Maps</v>
      </c>
      <c r="F449" s="15" t="s">
        <v>184</v>
      </c>
      <c r="G449" s="15"/>
    </row>
    <row r="450" customFormat="false" ht="15" hidden="false" customHeight="false" outlineLevel="0" collapsed="false">
      <c r="A450" s="7" t="s">
        <v>50</v>
      </c>
      <c r="B450" s="7" t="s">
        <v>64</v>
      </c>
      <c r="C450" s="7" t="s">
        <v>79</v>
      </c>
      <c r="D450" s="7" t="s">
        <v>165</v>
      </c>
      <c r="E450" s="16" t="str">
        <f aca="false">HYPERLINK("https://www.google.com/maps/search/"&amp;SUBSTITUTE(C450&amp;" "&amp;D450&amp;" "&amp;A450," ","+"),"Open Maps")</f>
        <v>Open Maps</v>
      </c>
      <c r="F450" s="15" t="s">
        <v>184</v>
      </c>
      <c r="G450" s="15"/>
    </row>
    <row r="451" customFormat="false" ht="15" hidden="false" customHeight="false" outlineLevel="0" collapsed="false">
      <c r="A451" s="7" t="s">
        <v>50</v>
      </c>
      <c r="B451" s="7" t="s">
        <v>67</v>
      </c>
      <c r="C451" s="7" t="s">
        <v>80</v>
      </c>
      <c r="D451" s="7" t="s">
        <v>163</v>
      </c>
      <c r="E451" s="16" t="str">
        <f aca="false">HYPERLINK("https://www.google.com/maps/search/"&amp;SUBSTITUTE(C451&amp;" "&amp;D451&amp;" "&amp;A451," ","+"),"Open Maps")</f>
        <v>Open Maps</v>
      </c>
      <c r="F451" s="15" t="s">
        <v>184</v>
      </c>
      <c r="G451" s="15"/>
    </row>
    <row r="452" customFormat="false" ht="15" hidden="false" customHeight="false" outlineLevel="0" collapsed="false">
      <c r="A452" s="7" t="s">
        <v>50</v>
      </c>
      <c r="B452" s="7" t="s">
        <v>67</v>
      </c>
      <c r="C452" s="7" t="s">
        <v>80</v>
      </c>
      <c r="D452" s="7" t="s">
        <v>164</v>
      </c>
      <c r="E452" s="16" t="str">
        <f aca="false">HYPERLINK("https://www.google.com/maps/search/"&amp;SUBSTITUTE(C452&amp;" "&amp;D452&amp;" "&amp;A452," ","+"),"Open Maps")</f>
        <v>Open Maps</v>
      </c>
      <c r="F452" s="15" t="s">
        <v>184</v>
      </c>
      <c r="G452" s="15"/>
    </row>
    <row r="453" customFormat="false" ht="15" hidden="false" customHeight="false" outlineLevel="0" collapsed="false">
      <c r="A453" s="7" t="s">
        <v>50</v>
      </c>
      <c r="B453" s="7" t="s">
        <v>67</v>
      </c>
      <c r="C453" s="7" t="s">
        <v>80</v>
      </c>
      <c r="D453" s="7" t="s">
        <v>165</v>
      </c>
      <c r="E453" s="16" t="str">
        <f aca="false">HYPERLINK("https://www.google.com/maps/search/"&amp;SUBSTITUTE(C453&amp;" "&amp;D453&amp;" "&amp;A453," ","+"),"Open Maps")</f>
        <v>Open Maps</v>
      </c>
      <c r="F453" s="15" t="s">
        <v>184</v>
      </c>
      <c r="G453" s="15"/>
    </row>
    <row r="454" customFormat="false" ht="15" hidden="false" customHeight="false" outlineLevel="0" collapsed="false">
      <c r="A454" s="7" t="s">
        <v>50</v>
      </c>
      <c r="B454" s="7" t="s">
        <v>67</v>
      </c>
      <c r="C454" s="7" t="s">
        <v>81</v>
      </c>
      <c r="D454" s="7" t="s">
        <v>163</v>
      </c>
      <c r="E454" s="16" t="str">
        <f aca="false">HYPERLINK("https://www.google.com/maps/search/"&amp;SUBSTITUTE(C454&amp;" "&amp;D454&amp;" "&amp;A454," ","+"),"Open Maps")</f>
        <v>Open Maps</v>
      </c>
      <c r="F454" s="15" t="s">
        <v>184</v>
      </c>
      <c r="G454" s="15"/>
    </row>
    <row r="455" customFormat="false" ht="15" hidden="false" customHeight="false" outlineLevel="0" collapsed="false">
      <c r="A455" s="7" t="s">
        <v>50</v>
      </c>
      <c r="B455" s="7" t="s">
        <v>67</v>
      </c>
      <c r="C455" s="7" t="s">
        <v>81</v>
      </c>
      <c r="D455" s="7" t="s">
        <v>164</v>
      </c>
      <c r="E455" s="16" t="str">
        <f aca="false">HYPERLINK("https://www.google.com/maps/search/"&amp;SUBSTITUTE(C455&amp;" "&amp;D455&amp;" "&amp;A455," ","+"),"Open Maps")</f>
        <v>Open Maps</v>
      </c>
      <c r="F455" s="15" t="s">
        <v>184</v>
      </c>
      <c r="G455" s="15"/>
    </row>
    <row r="456" customFormat="false" ht="15" hidden="false" customHeight="false" outlineLevel="0" collapsed="false">
      <c r="A456" s="7" t="s">
        <v>50</v>
      </c>
      <c r="B456" s="7" t="s">
        <v>67</v>
      </c>
      <c r="C456" s="7" t="s">
        <v>81</v>
      </c>
      <c r="D456" s="7" t="s">
        <v>165</v>
      </c>
      <c r="E456" s="16" t="str">
        <f aca="false">HYPERLINK("https://www.google.com/maps/search/"&amp;SUBSTITUTE(C456&amp;" "&amp;D456&amp;" "&amp;A456," ","+"),"Open Maps")</f>
        <v>Open Maps</v>
      </c>
      <c r="F456" s="15" t="s">
        <v>184</v>
      </c>
      <c r="G456" s="15"/>
    </row>
    <row r="457" customFormat="false" ht="15" hidden="false" customHeight="false" outlineLevel="0" collapsed="false">
      <c r="A457" s="7" t="s">
        <v>50</v>
      </c>
      <c r="B457" s="7" t="s">
        <v>67</v>
      </c>
      <c r="C457" s="7" t="s">
        <v>82</v>
      </c>
      <c r="D457" s="7" t="s">
        <v>163</v>
      </c>
      <c r="E457" s="16" t="str">
        <f aca="false">HYPERLINK("https://www.google.com/maps/search/"&amp;SUBSTITUTE(C457&amp;" "&amp;D457&amp;" "&amp;A457," ","+"),"Open Maps")</f>
        <v>Open Maps</v>
      </c>
      <c r="F457" s="15" t="s">
        <v>184</v>
      </c>
      <c r="G457" s="15"/>
    </row>
    <row r="458" customFormat="false" ht="15" hidden="false" customHeight="false" outlineLevel="0" collapsed="false">
      <c r="A458" s="7" t="s">
        <v>50</v>
      </c>
      <c r="B458" s="7" t="s">
        <v>67</v>
      </c>
      <c r="C458" s="7" t="s">
        <v>82</v>
      </c>
      <c r="D458" s="7" t="s">
        <v>164</v>
      </c>
      <c r="E458" s="16" t="str">
        <f aca="false">HYPERLINK("https://www.google.com/maps/search/"&amp;SUBSTITUTE(C458&amp;" "&amp;D458&amp;" "&amp;A458," ","+"),"Open Maps")</f>
        <v>Open Maps</v>
      </c>
      <c r="F458" s="15" t="s">
        <v>184</v>
      </c>
      <c r="G458" s="15"/>
    </row>
    <row r="459" customFormat="false" ht="15" hidden="false" customHeight="false" outlineLevel="0" collapsed="false">
      <c r="A459" s="7" t="s">
        <v>50</v>
      </c>
      <c r="B459" s="7" t="s">
        <v>67</v>
      </c>
      <c r="C459" s="7" t="s">
        <v>82</v>
      </c>
      <c r="D459" s="7" t="s">
        <v>165</v>
      </c>
      <c r="E459" s="16" t="str">
        <f aca="false">HYPERLINK("https://www.google.com/maps/search/"&amp;SUBSTITUTE(C459&amp;" "&amp;D459&amp;" "&amp;A459," ","+"),"Open Maps")</f>
        <v>Open Maps</v>
      </c>
      <c r="F459" s="15" t="s">
        <v>184</v>
      </c>
      <c r="G459" s="15"/>
    </row>
    <row r="460" customFormat="false" ht="15" hidden="false" customHeight="false" outlineLevel="0" collapsed="false">
      <c r="A460" s="7" t="s">
        <v>50</v>
      </c>
      <c r="B460" s="7" t="s">
        <v>67</v>
      </c>
      <c r="C460" s="7" t="s">
        <v>83</v>
      </c>
      <c r="D460" s="7" t="s">
        <v>163</v>
      </c>
      <c r="E460" s="16" t="str">
        <f aca="false">HYPERLINK("https://www.google.com/maps/search/"&amp;SUBSTITUTE(C460&amp;" "&amp;D460&amp;" "&amp;A460," ","+"),"Open Maps")</f>
        <v>Open Maps</v>
      </c>
      <c r="F460" s="15" t="s">
        <v>184</v>
      </c>
      <c r="G460" s="15"/>
    </row>
    <row r="461" customFormat="false" ht="15" hidden="false" customHeight="false" outlineLevel="0" collapsed="false">
      <c r="A461" s="7" t="s">
        <v>50</v>
      </c>
      <c r="B461" s="7" t="s">
        <v>67</v>
      </c>
      <c r="C461" s="7" t="s">
        <v>83</v>
      </c>
      <c r="D461" s="7" t="s">
        <v>164</v>
      </c>
      <c r="E461" s="16" t="str">
        <f aca="false">HYPERLINK("https://www.google.com/maps/search/"&amp;SUBSTITUTE(C461&amp;" "&amp;D461&amp;" "&amp;A461," ","+"),"Open Maps")</f>
        <v>Open Maps</v>
      </c>
      <c r="F461" s="15" t="s">
        <v>184</v>
      </c>
      <c r="G461" s="15"/>
    </row>
    <row r="462" customFormat="false" ht="15" hidden="false" customHeight="false" outlineLevel="0" collapsed="false">
      <c r="A462" s="7" t="s">
        <v>50</v>
      </c>
      <c r="B462" s="7" t="s">
        <v>67</v>
      </c>
      <c r="C462" s="7" t="s">
        <v>83</v>
      </c>
      <c r="D462" s="7" t="s">
        <v>165</v>
      </c>
      <c r="E462" s="16" t="str">
        <f aca="false">HYPERLINK("https://www.google.com/maps/search/"&amp;SUBSTITUTE(C462&amp;" "&amp;D462&amp;" "&amp;A462," ","+"),"Open Maps")</f>
        <v>Open Maps</v>
      </c>
      <c r="F462" s="15" t="s">
        <v>184</v>
      </c>
      <c r="G462" s="15"/>
    </row>
    <row r="463" customFormat="false" ht="15" hidden="false" customHeight="false" outlineLevel="0" collapsed="false">
      <c r="A463" s="7" t="s">
        <v>50</v>
      </c>
      <c r="B463" s="7" t="s">
        <v>67</v>
      </c>
      <c r="C463" s="7" t="s">
        <v>84</v>
      </c>
      <c r="D463" s="7" t="s">
        <v>163</v>
      </c>
      <c r="E463" s="16" t="str">
        <f aca="false">HYPERLINK("https://www.google.com/maps/search/"&amp;SUBSTITUTE(C463&amp;" "&amp;D463&amp;" "&amp;A463," ","+"),"Open Maps")</f>
        <v>Open Maps</v>
      </c>
      <c r="F463" s="15" t="s">
        <v>184</v>
      </c>
      <c r="G463" s="15"/>
    </row>
    <row r="464" customFormat="false" ht="15" hidden="false" customHeight="false" outlineLevel="0" collapsed="false">
      <c r="A464" s="7" t="s">
        <v>50</v>
      </c>
      <c r="B464" s="7" t="s">
        <v>67</v>
      </c>
      <c r="C464" s="7" t="s">
        <v>84</v>
      </c>
      <c r="D464" s="7" t="s">
        <v>164</v>
      </c>
      <c r="E464" s="16" t="str">
        <f aca="false">HYPERLINK("https://www.google.com/maps/search/"&amp;SUBSTITUTE(C464&amp;" "&amp;D464&amp;" "&amp;A464," ","+"),"Open Maps")</f>
        <v>Open Maps</v>
      </c>
      <c r="F464" s="15" t="s">
        <v>184</v>
      </c>
      <c r="G464" s="15"/>
    </row>
    <row r="465" customFormat="false" ht="15" hidden="false" customHeight="false" outlineLevel="0" collapsed="false">
      <c r="A465" s="7" t="s">
        <v>50</v>
      </c>
      <c r="B465" s="7" t="s">
        <v>67</v>
      </c>
      <c r="C465" s="7" t="s">
        <v>84</v>
      </c>
      <c r="D465" s="7" t="s">
        <v>165</v>
      </c>
      <c r="E465" s="16" t="str">
        <f aca="false">HYPERLINK("https://www.google.com/maps/search/"&amp;SUBSTITUTE(C465&amp;" "&amp;D465&amp;" "&amp;A465," ","+"),"Open Maps")</f>
        <v>Open Maps</v>
      </c>
      <c r="F465" s="15" t="s">
        <v>184</v>
      </c>
      <c r="G465" s="15"/>
    </row>
    <row r="466" customFormat="false" ht="15" hidden="false" customHeight="false" outlineLevel="0" collapsed="false">
      <c r="A466" s="7" t="s">
        <v>50</v>
      </c>
      <c r="B466" s="7" t="s">
        <v>67</v>
      </c>
      <c r="C466" s="7" t="s">
        <v>85</v>
      </c>
      <c r="D466" s="7" t="s">
        <v>163</v>
      </c>
      <c r="E466" s="16" t="str">
        <f aca="false">HYPERLINK("https://www.google.com/maps/search/"&amp;SUBSTITUTE(C466&amp;" "&amp;D466&amp;" "&amp;A466," ","+"),"Open Maps")</f>
        <v>Open Maps</v>
      </c>
      <c r="F466" s="15" t="s">
        <v>184</v>
      </c>
      <c r="G466" s="15"/>
    </row>
    <row r="467" customFormat="false" ht="15" hidden="false" customHeight="false" outlineLevel="0" collapsed="false">
      <c r="A467" s="7" t="s">
        <v>50</v>
      </c>
      <c r="B467" s="7" t="s">
        <v>67</v>
      </c>
      <c r="C467" s="7" t="s">
        <v>85</v>
      </c>
      <c r="D467" s="7" t="s">
        <v>164</v>
      </c>
      <c r="E467" s="16" t="str">
        <f aca="false">HYPERLINK("https://www.google.com/maps/search/"&amp;SUBSTITUTE(C467&amp;" "&amp;D467&amp;" "&amp;A467," ","+"),"Open Maps")</f>
        <v>Open Maps</v>
      </c>
      <c r="F467" s="15" t="s">
        <v>184</v>
      </c>
      <c r="G467" s="15"/>
    </row>
    <row r="468" customFormat="false" ht="15" hidden="false" customHeight="false" outlineLevel="0" collapsed="false">
      <c r="A468" s="7" t="s">
        <v>50</v>
      </c>
      <c r="B468" s="7" t="s">
        <v>67</v>
      </c>
      <c r="C468" s="7" t="s">
        <v>85</v>
      </c>
      <c r="D468" s="7" t="s">
        <v>165</v>
      </c>
      <c r="E468" s="16" t="str">
        <f aca="false">HYPERLINK("https://www.google.com/maps/search/"&amp;SUBSTITUTE(C468&amp;" "&amp;D468&amp;" "&amp;A468," ","+"),"Open Maps")</f>
        <v>Open Maps</v>
      </c>
      <c r="F468" s="15" t="s">
        <v>184</v>
      </c>
      <c r="G468" s="15"/>
    </row>
    <row r="469" customFormat="false" ht="15" hidden="false" customHeight="false" outlineLevel="0" collapsed="false">
      <c r="A469" s="7" t="s">
        <v>50</v>
      </c>
      <c r="B469" s="7" t="s">
        <v>67</v>
      </c>
      <c r="C469" s="7" t="s">
        <v>86</v>
      </c>
      <c r="D469" s="7" t="s">
        <v>163</v>
      </c>
      <c r="E469" s="16" t="str">
        <f aca="false">HYPERLINK("https://www.google.com/maps/search/"&amp;SUBSTITUTE(C469&amp;" "&amp;D469&amp;" "&amp;A469," ","+"),"Open Maps")</f>
        <v>Open Maps</v>
      </c>
      <c r="F469" s="15" t="s">
        <v>184</v>
      </c>
      <c r="G469" s="15"/>
    </row>
    <row r="470" customFormat="false" ht="15" hidden="false" customHeight="false" outlineLevel="0" collapsed="false">
      <c r="A470" s="7" t="s">
        <v>50</v>
      </c>
      <c r="B470" s="7" t="s">
        <v>67</v>
      </c>
      <c r="C470" s="7" t="s">
        <v>86</v>
      </c>
      <c r="D470" s="7" t="s">
        <v>164</v>
      </c>
      <c r="E470" s="16" t="str">
        <f aca="false">HYPERLINK("https://www.google.com/maps/search/"&amp;SUBSTITUTE(C470&amp;" "&amp;D470&amp;" "&amp;A470," ","+"),"Open Maps")</f>
        <v>Open Maps</v>
      </c>
      <c r="F470" s="15" t="s">
        <v>184</v>
      </c>
      <c r="G470" s="15"/>
    </row>
    <row r="471" customFormat="false" ht="15" hidden="false" customHeight="false" outlineLevel="0" collapsed="false">
      <c r="A471" s="7" t="s">
        <v>50</v>
      </c>
      <c r="B471" s="7" t="s">
        <v>67</v>
      </c>
      <c r="C471" s="7" t="s">
        <v>86</v>
      </c>
      <c r="D471" s="7" t="s">
        <v>165</v>
      </c>
      <c r="E471" s="16" t="str">
        <f aca="false">HYPERLINK("https://www.google.com/maps/search/"&amp;SUBSTITUTE(C471&amp;" "&amp;D471&amp;" "&amp;A471," ","+"),"Open Maps")</f>
        <v>Open Maps</v>
      </c>
      <c r="F471" s="15" t="s">
        <v>184</v>
      </c>
      <c r="G471" s="15"/>
    </row>
    <row r="472" customFormat="false" ht="15" hidden="false" customHeight="false" outlineLevel="0" collapsed="false">
      <c r="A472" s="7" t="s">
        <v>50</v>
      </c>
      <c r="B472" s="7" t="s">
        <v>76</v>
      </c>
      <c r="C472" s="7" t="s">
        <v>77</v>
      </c>
      <c r="D472" s="7" t="s">
        <v>163</v>
      </c>
      <c r="E472" s="16" t="str">
        <f aca="false">HYPERLINK("https://www.google.com/maps/search/"&amp;SUBSTITUTE(C472&amp;" "&amp;D472&amp;" "&amp;A472," ","+"),"Open Maps")</f>
        <v>Open Maps</v>
      </c>
      <c r="F472" s="15" t="s">
        <v>184</v>
      </c>
      <c r="G472" s="15"/>
    </row>
    <row r="473" customFormat="false" ht="15" hidden="false" customHeight="false" outlineLevel="0" collapsed="false">
      <c r="A473" s="7" t="s">
        <v>50</v>
      </c>
      <c r="B473" s="7" t="s">
        <v>76</v>
      </c>
      <c r="C473" s="7" t="s">
        <v>77</v>
      </c>
      <c r="D473" s="7" t="s">
        <v>164</v>
      </c>
      <c r="E473" s="16" t="str">
        <f aca="false">HYPERLINK("https://www.google.com/maps/search/"&amp;SUBSTITUTE(C473&amp;" "&amp;D473&amp;" "&amp;A473," ","+"),"Open Maps")</f>
        <v>Open Maps</v>
      </c>
      <c r="F473" s="15" t="s">
        <v>184</v>
      </c>
      <c r="G473" s="15"/>
    </row>
    <row r="474" customFormat="false" ht="15" hidden="false" customHeight="false" outlineLevel="0" collapsed="false">
      <c r="A474" s="7" t="s">
        <v>50</v>
      </c>
      <c r="B474" s="7" t="s">
        <v>76</v>
      </c>
      <c r="C474" s="7" t="s">
        <v>77</v>
      </c>
      <c r="D474" s="7" t="s">
        <v>165</v>
      </c>
      <c r="E474" s="16" t="str">
        <f aca="false">HYPERLINK("https://www.google.com/maps/search/"&amp;SUBSTITUTE(C474&amp;" "&amp;D474&amp;" "&amp;A474," ","+"),"Open Maps")</f>
        <v>Open Maps</v>
      </c>
      <c r="F474" s="15" t="s">
        <v>184</v>
      </c>
      <c r="G474" s="15"/>
    </row>
    <row r="475" customFormat="false" ht="15" hidden="false" customHeight="false" outlineLevel="0" collapsed="false">
      <c r="A475" s="7" t="s">
        <v>52</v>
      </c>
      <c r="B475" s="7" t="s">
        <v>64</v>
      </c>
      <c r="C475" s="7" t="s">
        <v>103</v>
      </c>
      <c r="D475" s="7" t="s">
        <v>166</v>
      </c>
      <c r="E475" s="16" t="str">
        <f aca="false">HYPERLINK("https://www.google.com/maps/search/"&amp;SUBSTITUTE(C475&amp;" "&amp;D475&amp;" "&amp;A475," ","+"),"Open Maps")</f>
        <v>Open Maps</v>
      </c>
      <c r="F475" s="15" t="s">
        <v>184</v>
      </c>
      <c r="G475" s="15"/>
    </row>
    <row r="476" customFormat="false" ht="15" hidden="false" customHeight="false" outlineLevel="0" collapsed="false">
      <c r="A476" s="7" t="s">
        <v>52</v>
      </c>
      <c r="B476" s="7" t="s">
        <v>64</v>
      </c>
      <c r="C476" s="7" t="s">
        <v>103</v>
      </c>
      <c r="D476" s="7" t="s">
        <v>168</v>
      </c>
      <c r="E476" s="16" t="str">
        <f aca="false">HYPERLINK("https://www.google.com/maps/search/"&amp;SUBSTITUTE(C476&amp;" "&amp;D476&amp;" "&amp;A476," ","+"),"Open Maps")</f>
        <v>Open Maps</v>
      </c>
      <c r="F476" s="15" t="s">
        <v>184</v>
      </c>
      <c r="G476" s="15"/>
    </row>
    <row r="477" customFormat="false" ht="15" hidden="false" customHeight="false" outlineLevel="0" collapsed="false">
      <c r="A477" s="7" t="s">
        <v>52</v>
      </c>
      <c r="B477" s="7" t="s">
        <v>64</v>
      </c>
      <c r="C477" s="7" t="s">
        <v>103</v>
      </c>
      <c r="D477" s="7" t="s">
        <v>169</v>
      </c>
      <c r="E477" s="16" t="str">
        <f aca="false">HYPERLINK("https://www.google.com/maps/search/"&amp;SUBSTITUTE(C477&amp;" "&amp;D477&amp;" "&amp;A477," ","+"),"Open Maps")</f>
        <v>Open Maps</v>
      </c>
      <c r="F477" s="15" t="s">
        <v>184</v>
      </c>
      <c r="G477" s="15"/>
    </row>
    <row r="478" customFormat="false" ht="15" hidden="false" customHeight="false" outlineLevel="0" collapsed="false">
      <c r="A478" s="7" t="s">
        <v>52</v>
      </c>
      <c r="B478" s="7" t="s">
        <v>64</v>
      </c>
      <c r="C478" s="7" t="s">
        <v>103</v>
      </c>
      <c r="D478" s="7" t="s">
        <v>170</v>
      </c>
      <c r="E478" s="16" t="str">
        <f aca="false">HYPERLINK("https://www.google.com/maps/search/"&amp;SUBSTITUTE(C478&amp;" "&amp;D478&amp;" "&amp;A478," ","+"),"Open Maps")</f>
        <v>Open Maps</v>
      </c>
      <c r="F478" s="15" t="s">
        <v>184</v>
      </c>
      <c r="G478" s="15"/>
    </row>
    <row r="479" customFormat="false" ht="15" hidden="false" customHeight="false" outlineLevel="0" collapsed="false">
      <c r="A479" s="7" t="s">
        <v>52</v>
      </c>
      <c r="B479" s="7" t="s">
        <v>67</v>
      </c>
      <c r="C479" s="7" t="s">
        <v>104</v>
      </c>
      <c r="D479" s="7" t="s">
        <v>166</v>
      </c>
      <c r="E479" s="16" t="str">
        <f aca="false">HYPERLINK("https://www.google.com/maps/search/"&amp;SUBSTITUTE(C479&amp;" "&amp;D479&amp;" "&amp;A479," ","+"),"Open Maps")</f>
        <v>Open Maps</v>
      </c>
      <c r="F479" s="15" t="s">
        <v>184</v>
      </c>
      <c r="G479" s="15"/>
    </row>
    <row r="480" customFormat="false" ht="15" hidden="false" customHeight="false" outlineLevel="0" collapsed="false">
      <c r="A480" s="7" t="s">
        <v>52</v>
      </c>
      <c r="B480" s="7" t="s">
        <v>67</v>
      </c>
      <c r="C480" s="7" t="s">
        <v>104</v>
      </c>
      <c r="D480" s="7" t="s">
        <v>168</v>
      </c>
      <c r="E480" s="16" t="str">
        <f aca="false">HYPERLINK("https://www.google.com/maps/search/"&amp;SUBSTITUTE(C480&amp;" "&amp;D480&amp;" "&amp;A480," ","+"),"Open Maps")</f>
        <v>Open Maps</v>
      </c>
      <c r="F480" s="15" t="s">
        <v>184</v>
      </c>
      <c r="G480" s="15"/>
    </row>
    <row r="481" customFormat="false" ht="15" hidden="false" customHeight="false" outlineLevel="0" collapsed="false">
      <c r="A481" s="7" t="s">
        <v>52</v>
      </c>
      <c r="B481" s="7" t="s">
        <v>67</v>
      </c>
      <c r="C481" s="7" t="s">
        <v>104</v>
      </c>
      <c r="D481" s="7" t="s">
        <v>169</v>
      </c>
      <c r="E481" s="16" t="str">
        <f aca="false">HYPERLINK("https://www.google.com/maps/search/"&amp;SUBSTITUTE(C481&amp;" "&amp;D481&amp;" "&amp;A481," ","+"),"Open Maps")</f>
        <v>Open Maps</v>
      </c>
      <c r="F481" s="15" t="s">
        <v>184</v>
      </c>
      <c r="G481" s="15"/>
    </row>
    <row r="482" customFormat="false" ht="15" hidden="false" customHeight="false" outlineLevel="0" collapsed="false">
      <c r="A482" s="7" t="s">
        <v>52</v>
      </c>
      <c r="B482" s="7" t="s">
        <v>67</v>
      </c>
      <c r="C482" s="7" t="s">
        <v>104</v>
      </c>
      <c r="D482" s="7" t="s">
        <v>170</v>
      </c>
      <c r="E482" s="16" t="str">
        <f aca="false">HYPERLINK("https://www.google.com/maps/search/"&amp;SUBSTITUTE(C482&amp;" "&amp;D482&amp;" "&amp;A482," ","+"),"Open Maps")</f>
        <v>Open Maps</v>
      </c>
      <c r="F482" s="15" t="s">
        <v>184</v>
      </c>
      <c r="G482" s="15"/>
    </row>
    <row r="483" customFormat="false" ht="15" hidden="false" customHeight="false" outlineLevel="0" collapsed="false">
      <c r="A483" s="7" t="s">
        <v>52</v>
      </c>
      <c r="B483" s="7" t="s">
        <v>67</v>
      </c>
      <c r="C483" s="7" t="s">
        <v>105</v>
      </c>
      <c r="D483" s="7" t="s">
        <v>166</v>
      </c>
      <c r="E483" s="16" t="str">
        <f aca="false">HYPERLINK("https://www.google.com/maps/search/"&amp;SUBSTITUTE(C483&amp;" "&amp;D483&amp;" "&amp;A483," ","+"),"Open Maps")</f>
        <v>Open Maps</v>
      </c>
      <c r="F483" s="15" t="s">
        <v>184</v>
      </c>
      <c r="G483" s="15"/>
    </row>
    <row r="484" customFormat="false" ht="15" hidden="false" customHeight="false" outlineLevel="0" collapsed="false">
      <c r="A484" s="7" t="s">
        <v>52</v>
      </c>
      <c r="B484" s="7" t="s">
        <v>67</v>
      </c>
      <c r="C484" s="7" t="s">
        <v>105</v>
      </c>
      <c r="D484" s="7" t="s">
        <v>168</v>
      </c>
      <c r="E484" s="16" t="str">
        <f aca="false">HYPERLINK("https://www.google.com/maps/search/"&amp;SUBSTITUTE(C484&amp;" "&amp;D484&amp;" "&amp;A484," ","+"),"Open Maps")</f>
        <v>Open Maps</v>
      </c>
      <c r="F484" s="15" t="s">
        <v>184</v>
      </c>
      <c r="G484" s="15"/>
    </row>
    <row r="485" customFormat="false" ht="15" hidden="false" customHeight="false" outlineLevel="0" collapsed="false">
      <c r="A485" s="7" t="s">
        <v>52</v>
      </c>
      <c r="B485" s="7" t="s">
        <v>67</v>
      </c>
      <c r="C485" s="7" t="s">
        <v>105</v>
      </c>
      <c r="D485" s="7" t="s">
        <v>169</v>
      </c>
      <c r="E485" s="16" t="str">
        <f aca="false">HYPERLINK("https://www.google.com/maps/search/"&amp;SUBSTITUTE(C485&amp;" "&amp;D485&amp;" "&amp;A485," ","+"),"Open Maps")</f>
        <v>Open Maps</v>
      </c>
      <c r="F485" s="15" t="s">
        <v>184</v>
      </c>
      <c r="G485" s="15"/>
    </row>
    <row r="486" customFormat="false" ht="15" hidden="false" customHeight="false" outlineLevel="0" collapsed="false">
      <c r="A486" s="7" t="s">
        <v>52</v>
      </c>
      <c r="B486" s="7" t="s">
        <v>67</v>
      </c>
      <c r="C486" s="7" t="s">
        <v>105</v>
      </c>
      <c r="D486" s="7" t="s">
        <v>170</v>
      </c>
      <c r="E486" s="16" t="str">
        <f aca="false">HYPERLINK("https://www.google.com/maps/search/"&amp;SUBSTITUTE(C486&amp;" "&amp;D486&amp;" "&amp;A486," ","+"),"Open Maps")</f>
        <v>Open Maps</v>
      </c>
      <c r="F486" s="15" t="s">
        <v>184</v>
      </c>
      <c r="G486" s="15"/>
    </row>
    <row r="487" customFormat="false" ht="15" hidden="false" customHeight="false" outlineLevel="0" collapsed="false">
      <c r="A487" s="7" t="s">
        <v>52</v>
      </c>
      <c r="B487" s="7" t="s">
        <v>67</v>
      </c>
      <c r="C487" s="7" t="s">
        <v>106</v>
      </c>
      <c r="D487" s="7" t="s">
        <v>166</v>
      </c>
      <c r="E487" s="16" t="str">
        <f aca="false">HYPERLINK("https://www.google.com/maps/search/"&amp;SUBSTITUTE(C487&amp;" "&amp;D487&amp;" "&amp;A487," ","+"),"Open Maps")</f>
        <v>Open Maps</v>
      </c>
      <c r="F487" s="15" t="s">
        <v>184</v>
      </c>
      <c r="G487" s="15"/>
    </row>
    <row r="488" customFormat="false" ht="15" hidden="false" customHeight="false" outlineLevel="0" collapsed="false">
      <c r="A488" s="7" t="s">
        <v>52</v>
      </c>
      <c r="B488" s="7" t="s">
        <v>67</v>
      </c>
      <c r="C488" s="7" t="s">
        <v>106</v>
      </c>
      <c r="D488" s="7" t="s">
        <v>168</v>
      </c>
      <c r="E488" s="16" t="str">
        <f aca="false">HYPERLINK("https://www.google.com/maps/search/"&amp;SUBSTITUTE(C488&amp;" "&amp;D488&amp;" "&amp;A488," ","+"),"Open Maps")</f>
        <v>Open Maps</v>
      </c>
      <c r="F488" s="15" t="s">
        <v>184</v>
      </c>
      <c r="G488" s="15"/>
    </row>
    <row r="489" customFormat="false" ht="15" hidden="false" customHeight="false" outlineLevel="0" collapsed="false">
      <c r="A489" s="7" t="s">
        <v>52</v>
      </c>
      <c r="B489" s="7" t="s">
        <v>67</v>
      </c>
      <c r="C489" s="7" t="s">
        <v>106</v>
      </c>
      <c r="D489" s="7" t="s">
        <v>169</v>
      </c>
      <c r="E489" s="16" t="str">
        <f aca="false">HYPERLINK("https://www.google.com/maps/search/"&amp;SUBSTITUTE(C489&amp;" "&amp;D489&amp;" "&amp;A489," ","+"),"Open Maps")</f>
        <v>Open Maps</v>
      </c>
      <c r="F489" s="15" t="s">
        <v>184</v>
      </c>
      <c r="G489" s="15"/>
    </row>
    <row r="490" customFormat="false" ht="15" hidden="false" customHeight="false" outlineLevel="0" collapsed="false">
      <c r="A490" s="7" t="s">
        <v>52</v>
      </c>
      <c r="B490" s="7" t="s">
        <v>67</v>
      </c>
      <c r="C490" s="7" t="s">
        <v>106</v>
      </c>
      <c r="D490" s="7" t="s">
        <v>170</v>
      </c>
      <c r="E490" s="16" t="str">
        <f aca="false">HYPERLINK("https://www.google.com/maps/search/"&amp;SUBSTITUTE(C490&amp;" "&amp;D490&amp;" "&amp;A490," ","+"),"Open Maps")</f>
        <v>Open Maps</v>
      </c>
      <c r="F490" s="15" t="s">
        <v>184</v>
      </c>
      <c r="G490" s="15"/>
    </row>
    <row r="491" customFormat="false" ht="15" hidden="false" customHeight="false" outlineLevel="0" collapsed="false">
      <c r="A491" s="7" t="s">
        <v>52</v>
      </c>
      <c r="B491" s="7" t="s">
        <v>67</v>
      </c>
      <c r="C491" s="7" t="s">
        <v>107</v>
      </c>
      <c r="D491" s="7" t="s">
        <v>166</v>
      </c>
      <c r="E491" s="16" t="str">
        <f aca="false">HYPERLINK("https://www.google.com/maps/search/"&amp;SUBSTITUTE(C491&amp;" "&amp;D491&amp;" "&amp;A491," ","+"),"Open Maps")</f>
        <v>Open Maps</v>
      </c>
      <c r="F491" s="15" t="s">
        <v>184</v>
      </c>
      <c r="G491" s="15"/>
    </row>
    <row r="492" customFormat="false" ht="15" hidden="false" customHeight="false" outlineLevel="0" collapsed="false">
      <c r="A492" s="7" t="s">
        <v>52</v>
      </c>
      <c r="B492" s="7" t="s">
        <v>67</v>
      </c>
      <c r="C492" s="7" t="s">
        <v>107</v>
      </c>
      <c r="D492" s="7" t="s">
        <v>168</v>
      </c>
      <c r="E492" s="16" t="str">
        <f aca="false">HYPERLINK("https://www.google.com/maps/search/"&amp;SUBSTITUTE(C492&amp;" "&amp;D492&amp;" "&amp;A492," ","+"),"Open Maps")</f>
        <v>Open Maps</v>
      </c>
      <c r="F492" s="15" t="s">
        <v>184</v>
      </c>
      <c r="G492" s="15"/>
    </row>
    <row r="493" customFormat="false" ht="15" hidden="false" customHeight="false" outlineLevel="0" collapsed="false">
      <c r="A493" s="7" t="s">
        <v>52</v>
      </c>
      <c r="B493" s="7" t="s">
        <v>67</v>
      </c>
      <c r="C493" s="7" t="s">
        <v>107</v>
      </c>
      <c r="D493" s="7" t="s">
        <v>169</v>
      </c>
      <c r="E493" s="16" t="str">
        <f aca="false">HYPERLINK("https://www.google.com/maps/search/"&amp;SUBSTITUTE(C493&amp;" "&amp;D493&amp;" "&amp;A493," ","+"),"Open Maps")</f>
        <v>Open Maps</v>
      </c>
      <c r="F493" s="15" t="s">
        <v>184</v>
      </c>
      <c r="G493" s="15"/>
    </row>
    <row r="494" customFormat="false" ht="15" hidden="false" customHeight="false" outlineLevel="0" collapsed="false">
      <c r="A494" s="7" t="s">
        <v>52</v>
      </c>
      <c r="B494" s="7" t="s">
        <v>67</v>
      </c>
      <c r="C494" s="7" t="s">
        <v>107</v>
      </c>
      <c r="D494" s="7" t="s">
        <v>170</v>
      </c>
      <c r="E494" s="16" t="str">
        <f aca="false">HYPERLINK("https://www.google.com/maps/search/"&amp;SUBSTITUTE(C494&amp;" "&amp;D494&amp;" "&amp;A494," ","+"),"Open Maps")</f>
        <v>Open Maps</v>
      </c>
      <c r="F494" s="15" t="s">
        <v>184</v>
      </c>
      <c r="G494" s="15"/>
    </row>
    <row r="495" customFormat="false" ht="15" hidden="false" customHeight="false" outlineLevel="0" collapsed="false">
      <c r="A495" s="7" t="s">
        <v>52</v>
      </c>
      <c r="B495" s="7" t="s">
        <v>67</v>
      </c>
      <c r="C495" s="7" t="s">
        <v>108</v>
      </c>
      <c r="D495" s="7" t="s">
        <v>166</v>
      </c>
      <c r="E495" s="16" t="str">
        <f aca="false">HYPERLINK("https://www.google.com/maps/search/"&amp;SUBSTITUTE(C495&amp;" "&amp;D495&amp;" "&amp;A495," ","+"),"Open Maps")</f>
        <v>Open Maps</v>
      </c>
      <c r="F495" s="15" t="s">
        <v>184</v>
      </c>
      <c r="G495" s="15"/>
    </row>
    <row r="496" customFormat="false" ht="15" hidden="false" customHeight="false" outlineLevel="0" collapsed="false">
      <c r="A496" s="7" t="s">
        <v>52</v>
      </c>
      <c r="B496" s="7" t="s">
        <v>67</v>
      </c>
      <c r="C496" s="7" t="s">
        <v>108</v>
      </c>
      <c r="D496" s="7" t="s">
        <v>168</v>
      </c>
      <c r="E496" s="16" t="str">
        <f aca="false">HYPERLINK("https://www.google.com/maps/search/"&amp;SUBSTITUTE(C496&amp;" "&amp;D496&amp;" "&amp;A496," ","+"),"Open Maps")</f>
        <v>Open Maps</v>
      </c>
      <c r="F496" s="15" t="s">
        <v>184</v>
      </c>
      <c r="G496" s="15"/>
    </row>
    <row r="497" customFormat="false" ht="15" hidden="false" customHeight="false" outlineLevel="0" collapsed="false">
      <c r="A497" s="7" t="s">
        <v>52</v>
      </c>
      <c r="B497" s="7" t="s">
        <v>67</v>
      </c>
      <c r="C497" s="7" t="s">
        <v>108</v>
      </c>
      <c r="D497" s="7" t="s">
        <v>169</v>
      </c>
      <c r="E497" s="16" t="str">
        <f aca="false">HYPERLINK("https://www.google.com/maps/search/"&amp;SUBSTITUTE(C497&amp;" "&amp;D497&amp;" "&amp;A497," ","+"),"Open Maps")</f>
        <v>Open Maps</v>
      </c>
      <c r="F497" s="15" t="s">
        <v>184</v>
      </c>
      <c r="G497" s="15"/>
    </row>
    <row r="498" customFormat="false" ht="15" hidden="false" customHeight="false" outlineLevel="0" collapsed="false">
      <c r="A498" s="7" t="s">
        <v>52</v>
      </c>
      <c r="B498" s="7" t="s">
        <v>67</v>
      </c>
      <c r="C498" s="7" t="s">
        <v>108</v>
      </c>
      <c r="D498" s="7" t="s">
        <v>170</v>
      </c>
      <c r="E498" s="16" t="str">
        <f aca="false">HYPERLINK("https://www.google.com/maps/search/"&amp;SUBSTITUTE(C498&amp;" "&amp;D498&amp;" "&amp;A498," ","+"),"Open Maps")</f>
        <v>Open Maps</v>
      </c>
      <c r="F498" s="15" t="s">
        <v>184</v>
      </c>
      <c r="G498" s="15"/>
    </row>
    <row r="499" customFormat="false" ht="15" hidden="false" customHeight="false" outlineLevel="0" collapsed="false">
      <c r="A499" s="7" t="s">
        <v>52</v>
      </c>
      <c r="B499" s="7" t="s">
        <v>67</v>
      </c>
      <c r="C499" s="7" t="s">
        <v>109</v>
      </c>
      <c r="D499" s="7" t="s">
        <v>166</v>
      </c>
      <c r="E499" s="16" t="str">
        <f aca="false">HYPERLINK("https://www.google.com/maps/search/"&amp;SUBSTITUTE(C499&amp;" "&amp;D499&amp;" "&amp;A499," ","+"),"Open Maps")</f>
        <v>Open Maps</v>
      </c>
      <c r="F499" s="15" t="s">
        <v>184</v>
      </c>
      <c r="G499" s="15"/>
    </row>
    <row r="500" customFormat="false" ht="15" hidden="false" customHeight="false" outlineLevel="0" collapsed="false">
      <c r="A500" s="7" t="s">
        <v>52</v>
      </c>
      <c r="B500" s="7" t="s">
        <v>67</v>
      </c>
      <c r="C500" s="7" t="s">
        <v>109</v>
      </c>
      <c r="D500" s="7" t="s">
        <v>168</v>
      </c>
      <c r="E500" s="16" t="str">
        <f aca="false">HYPERLINK("https://www.google.com/maps/search/"&amp;SUBSTITUTE(C500&amp;" "&amp;D500&amp;" "&amp;A500," ","+"),"Open Maps")</f>
        <v>Open Maps</v>
      </c>
      <c r="F500" s="15" t="s">
        <v>184</v>
      </c>
      <c r="G500" s="15"/>
    </row>
    <row r="501" customFormat="false" ht="15" hidden="false" customHeight="false" outlineLevel="0" collapsed="false">
      <c r="A501" s="7" t="s">
        <v>52</v>
      </c>
      <c r="B501" s="7" t="s">
        <v>67</v>
      </c>
      <c r="C501" s="7" t="s">
        <v>109</v>
      </c>
      <c r="D501" s="7" t="s">
        <v>169</v>
      </c>
      <c r="E501" s="16" t="str">
        <f aca="false">HYPERLINK("https://www.google.com/maps/search/"&amp;SUBSTITUTE(C501&amp;" "&amp;D501&amp;" "&amp;A501," ","+"),"Open Maps")</f>
        <v>Open Maps</v>
      </c>
      <c r="F501" s="15" t="s">
        <v>184</v>
      </c>
      <c r="G501" s="15"/>
    </row>
    <row r="502" customFormat="false" ht="15" hidden="false" customHeight="false" outlineLevel="0" collapsed="false">
      <c r="A502" s="7" t="s">
        <v>52</v>
      </c>
      <c r="B502" s="7" t="s">
        <v>67</v>
      </c>
      <c r="C502" s="7" t="s">
        <v>109</v>
      </c>
      <c r="D502" s="7" t="s">
        <v>170</v>
      </c>
      <c r="E502" s="16" t="str">
        <f aca="false">HYPERLINK("https://www.google.com/maps/search/"&amp;SUBSTITUTE(C502&amp;" "&amp;D502&amp;" "&amp;A502," ","+"),"Open Maps")</f>
        <v>Open Maps</v>
      </c>
      <c r="F502" s="15" t="s">
        <v>184</v>
      </c>
      <c r="G502" s="15"/>
    </row>
    <row r="503" customFormat="false" ht="15" hidden="false" customHeight="false" outlineLevel="0" collapsed="false">
      <c r="A503" s="7" t="s">
        <v>52</v>
      </c>
      <c r="B503" s="7" t="s">
        <v>67</v>
      </c>
      <c r="C503" s="7" t="s">
        <v>110</v>
      </c>
      <c r="D503" s="7" t="s">
        <v>166</v>
      </c>
      <c r="E503" s="16" t="str">
        <f aca="false">HYPERLINK("https://www.google.com/maps/search/"&amp;SUBSTITUTE(C503&amp;" "&amp;D503&amp;" "&amp;A503," ","+"),"Open Maps")</f>
        <v>Open Maps</v>
      </c>
      <c r="F503" s="15" t="s">
        <v>184</v>
      </c>
      <c r="G503" s="15"/>
    </row>
    <row r="504" customFormat="false" ht="15" hidden="false" customHeight="false" outlineLevel="0" collapsed="false">
      <c r="A504" s="7" t="s">
        <v>52</v>
      </c>
      <c r="B504" s="7" t="s">
        <v>67</v>
      </c>
      <c r="C504" s="7" t="s">
        <v>110</v>
      </c>
      <c r="D504" s="7" t="s">
        <v>168</v>
      </c>
      <c r="E504" s="16" t="str">
        <f aca="false">HYPERLINK("https://www.google.com/maps/search/"&amp;SUBSTITUTE(C504&amp;" "&amp;D504&amp;" "&amp;A504," ","+"),"Open Maps")</f>
        <v>Open Maps</v>
      </c>
      <c r="F504" s="15" t="s">
        <v>184</v>
      </c>
      <c r="G504" s="15"/>
    </row>
    <row r="505" customFormat="false" ht="15" hidden="false" customHeight="false" outlineLevel="0" collapsed="false">
      <c r="A505" s="7" t="s">
        <v>52</v>
      </c>
      <c r="B505" s="7" t="s">
        <v>67</v>
      </c>
      <c r="C505" s="7" t="s">
        <v>110</v>
      </c>
      <c r="D505" s="7" t="s">
        <v>169</v>
      </c>
      <c r="E505" s="16" t="str">
        <f aca="false">HYPERLINK("https://www.google.com/maps/search/"&amp;SUBSTITUTE(C505&amp;" "&amp;D505&amp;" "&amp;A505," ","+"),"Open Maps")</f>
        <v>Open Maps</v>
      </c>
      <c r="F505" s="15" t="s">
        <v>184</v>
      </c>
      <c r="G505" s="15"/>
    </row>
    <row r="506" customFormat="false" ht="15" hidden="false" customHeight="false" outlineLevel="0" collapsed="false">
      <c r="A506" s="7" t="s">
        <v>52</v>
      </c>
      <c r="B506" s="7" t="s">
        <v>67</v>
      </c>
      <c r="C506" s="7" t="s">
        <v>110</v>
      </c>
      <c r="D506" s="7" t="s">
        <v>170</v>
      </c>
      <c r="E506" s="16" t="str">
        <f aca="false">HYPERLINK("https://www.google.com/maps/search/"&amp;SUBSTITUTE(C506&amp;" "&amp;D506&amp;" "&amp;A506," ","+"),"Open Maps")</f>
        <v>Open Maps</v>
      </c>
      <c r="F506" s="15" t="s">
        <v>184</v>
      </c>
      <c r="G506" s="15"/>
    </row>
    <row r="507" customFormat="false" ht="15" hidden="false" customHeight="false" outlineLevel="0" collapsed="false">
      <c r="A507" s="7" t="s">
        <v>52</v>
      </c>
      <c r="B507" s="7" t="s">
        <v>76</v>
      </c>
      <c r="C507" s="7" t="s">
        <v>77</v>
      </c>
      <c r="D507" s="7" t="s">
        <v>166</v>
      </c>
      <c r="E507" s="16" t="str">
        <f aca="false">HYPERLINK("https://www.google.com/maps/search/"&amp;SUBSTITUTE(C507&amp;" "&amp;D507&amp;" "&amp;A507," ","+"),"Open Maps")</f>
        <v>Open Maps</v>
      </c>
      <c r="F507" s="15" t="s">
        <v>184</v>
      </c>
      <c r="G507" s="15"/>
    </row>
    <row r="508" customFormat="false" ht="15" hidden="false" customHeight="false" outlineLevel="0" collapsed="false">
      <c r="A508" s="7" t="s">
        <v>52</v>
      </c>
      <c r="B508" s="7" t="s">
        <v>76</v>
      </c>
      <c r="C508" s="7" t="s">
        <v>77</v>
      </c>
      <c r="D508" s="7" t="s">
        <v>168</v>
      </c>
      <c r="E508" s="16" t="str">
        <f aca="false">HYPERLINK("https://www.google.com/maps/search/"&amp;SUBSTITUTE(C508&amp;" "&amp;D508&amp;" "&amp;A508," ","+"),"Open Maps")</f>
        <v>Open Maps</v>
      </c>
      <c r="F508" s="15" t="s">
        <v>184</v>
      </c>
      <c r="G508" s="15"/>
    </row>
    <row r="509" customFormat="false" ht="15" hidden="false" customHeight="false" outlineLevel="0" collapsed="false">
      <c r="A509" s="7" t="s">
        <v>52</v>
      </c>
      <c r="B509" s="7" t="s">
        <v>76</v>
      </c>
      <c r="C509" s="7" t="s">
        <v>77</v>
      </c>
      <c r="D509" s="7" t="s">
        <v>169</v>
      </c>
      <c r="E509" s="16" t="str">
        <f aca="false">HYPERLINK("https://www.google.com/maps/search/"&amp;SUBSTITUTE(C509&amp;" "&amp;D509&amp;" "&amp;A509," ","+"),"Open Maps")</f>
        <v>Open Maps</v>
      </c>
      <c r="F509" s="15" t="s">
        <v>184</v>
      </c>
      <c r="G509" s="15"/>
    </row>
    <row r="510" customFormat="false" ht="15" hidden="false" customHeight="false" outlineLevel="0" collapsed="false">
      <c r="A510" s="7" t="s">
        <v>52</v>
      </c>
      <c r="B510" s="7" t="s">
        <v>76</v>
      </c>
      <c r="C510" s="7" t="s">
        <v>77</v>
      </c>
      <c r="D510" s="7" t="s">
        <v>170</v>
      </c>
      <c r="E510" s="16" t="str">
        <f aca="false">HYPERLINK("https://www.google.com/maps/search/"&amp;SUBSTITUTE(C510&amp;" "&amp;D510&amp;" "&amp;A510," ","+"),"Open Maps")</f>
        <v>Open Maps</v>
      </c>
      <c r="F510" s="15" t="s">
        <v>184</v>
      </c>
      <c r="G510" s="15"/>
    </row>
    <row r="511" customFormat="false" ht="15" hidden="false" customHeight="false" outlineLevel="0" collapsed="false">
      <c r="A511" s="7" t="s">
        <v>54</v>
      </c>
      <c r="B511" s="7" t="s">
        <v>64</v>
      </c>
      <c r="C511" s="7" t="s">
        <v>91</v>
      </c>
      <c r="D511" s="7" t="s">
        <v>171</v>
      </c>
      <c r="E511" s="16" t="str">
        <f aca="false">HYPERLINK("https://www.google.com/maps/search/"&amp;SUBSTITUTE(C511&amp;" "&amp;D511&amp;" "&amp;A511," ","+"),"Open Maps")</f>
        <v>Open Maps</v>
      </c>
      <c r="F511" s="15" t="s">
        <v>184</v>
      </c>
      <c r="G511" s="15"/>
    </row>
    <row r="512" customFormat="false" ht="15" hidden="false" customHeight="false" outlineLevel="0" collapsed="false">
      <c r="A512" s="7" t="s">
        <v>54</v>
      </c>
      <c r="B512" s="7" t="s">
        <v>64</v>
      </c>
      <c r="C512" s="7" t="s">
        <v>91</v>
      </c>
      <c r="D512" s="7" t="s">
        <v>172</v>
      </c>
      <c r="E512" s="16" t="str">
        <f aca="false">HYPERLINK("https://www.google.com/maps/search/"&amp;SUBSTITUTE(C512&amp;" "&amp;D512&amp;" "&amp;A512," ","+"),"Open Maps")</f>
        <v>Open Maps</v>
      </c>
      <c r="F512" s="15" t="s">
        <v>184</v>
      </c>
      <c r="G512" s="15"/>
    </row>
    <row r="513" customFormat="false" ht="15" hidden="false" customHeight="false" outlineLevel="0" collapsed="false">
      <c r="A513" s="7" t="s">
        <v>54</v>
      </c>
      <c r="B513" s="7" t="s">
        <v>64</v>
      </c>
      <c r="C513" s="7" t="s">
        <v>91</v>
      </c>
      <c r="D513" s="7" t="s">
        <v>173</v>
      </c>
      <c r="E513" s="16" t="str">
        <f aca="false">HYPERLINK("https://www.google.com/maps/search/"&amp;SUBSTITUTE(C513&amp;" "&amp;D513&amp;" "&amp;A513," ","+"),"Open Maps")</f>
        <v>Open Maps</v>
      </c>
      <c r="F513" s="15" t="s">
        <v>184</v>
      </c>
      <c r="G513" s="15"/>
    </row>
    <row r="514" customFormat="false" ht="15" hidden="false" customHeight="false" outlineLevel="0" collapsed="false">
      <c r="A514" s="7" t="s">
        <v>54</v>
      </c>
      <c r="B514" s="7" t="s">
        <v>64</v>
      </c>
      <c r="C514" s="7" t="s">
        <v>91</v>
      </c>
      <c r="D514" s="7" t="s">
        <v>174</v>
      </c>
      <c r="E514" s="16" t="str">
        <f aca="false">HYPERLINK("https://www.google.com/maps/search/"&amp;SUBSTITUTE(C514&amp;" "&amp;D514&amp;" "&amp;A514," ","+"),"Open Maps")</f>
        <v>Open Maps</v>
      </c>
      <c r="F514" s="15" t="s">
        <v>184</v>
      </c>
      <c r="G514" s="15"/>
    </row>
    <row r="515" customFormat="false" ht="15" hidden="false" customHeight="false" outlineLevel="0" collapsed="false">
      <c r="A515" s="7" t="s">
        <v>54</v>
      </c>
      <c r="B515" s="7" t="s">
        <v>67</v>
      </c>
      <c r="C515" s="7" t="s">
        <v>95</v>
      </c>
      <c r="D515" s="7" t="s">
        <v>171</v>
      </c>
      <c r="E515" s="16" t="str">
        <f aca="false">HYPERLINK("https://www.google.com/maps/search/"&amp;SUBSTITUTE(C515&amp;" "&amp;D515&amp;" "&amp;A515," ","+"),"Open Maps")</f>
        <v>Open Maps</v>
      </c>
      <c r="F515" s="15" t="s">
        <v>184</v>
      </c>
      <c r="G515" s="15"/>
    </row>
    <row r="516" customFormat="false" ht="15" hidden="false" customHeight="false" outlineLevel="0" collapsed="false">
      <c r="A516" s="7" t="s">
        <v>54</v>
      </c>
      <c r="B516" s="7" t="s">
        <v>67</v>
      </c>
      <c r="C516" s="7" t="s">
        <v>95</v>
      </c>
      <c r="D516" s="7" t="s">
        <v>172</v>
      </c>
      <c r="E516" s="16" t="str">
        <f aca="false">HYPERLINK("https://www.google.com/maps/search/"&amp;SUBSTITUTE(C516&amp;" "&amp;D516&amp;" "&amp;A516," ","+"),"Open Maps")</f>
        <v>Open Maps</v>
      </c>
      <c r="F516" s="15" t="s">
        <v>184</v>
      </c>
      <c r="G516" s="15"/>
    </row>
    <row r="517" customFormat="false" ht="15" hidden="false" customHeight="false" outlineLevel="0" collapsed="false">
      <c r="A517" s="7" t="s">
        <v>54</v>
      </c>
      <c r="B517" s="7" t="s">
        <v>67</v>
      </c>
      <c r="C517" s="7" t="s">
        <v>95</v>
      </c>
      <c r="D517" s="7" t="s">
        <v>173</v>
      </c>
      <c r="E517" s="16" t="str">
        <f aca="false">HYPERLINK("https://www.google.com/maps/search/"&amp;SUBSTITUTE(C517&amp;" "&amp;D517&amp;" "&amp;A517," ","+"),"Open Maps")</f>
        <v>Open Maps</v>
      </c>
      <c r="F517" s="15" t="s">
        <v>184</v>
      </c>
      <c r="G517" s="15"/>
    </row>
    <row r="518" customFormat="false" ht="15" hidden="false" customHeight="false" outlineLevel="0" collapsed="false">
      <c r="A518" s="7" t="s">
        <v>54</v>
      </c>
      <c r="B518" s="7" t="s">
        <v>67</v>
      </c>
      <c r="C518" s="7" t="s">
        <v>95</v>
      </c>
      <c r="D518" s="7" t="s">
        <v>174</v>
      </c>
      <c r="E518" s="16" t="str">
        <f aca="false">HYPERLINK("https://www.google.com/maps/search/"&amp;SUBSTITUTE(C518&amp;" "&amp;D518&amp;" "&amp;A518," ","+"),"Open Maps")</f>
        <v>Open Maps</v>
      </c>
      <c r="F518" s="15" t="s">
        <v>184</v>
      </c>
      <c r="G518" s="15"/>
    </row>
    <row r="519" customFormat="false" ht="15" hidden="false" customHeight="false" outlineLevel="0" collapsed="false">
      <c r="A519" s="7" t="s">
        <v>54</v>
      </c>
      <c r="B519" s="7" t="s">
        <v>67</v>
      </c>
      <c r="C519" s="7" t="s">
        <v>96</v>
      </c>
      <c r="D519" s="7" t="s">
        <v>171</v>
      </c>
      <c r="E519" s="16" t="str">
        <f aca="false">HYPERLINK("https://www.google.com/maps/search/"&amp;SUBSTITUTE(C519&amp;" "&amp;D519&amp;" "&amp;A519," ","+"),"Open Maps")</f>
        <v>Open Maps</v>
      </c>
      <c r="F519" s="15" t="s">
        <v>184</v>
      </c>
      <c r="G519" s="15"/>
    </row>
    <row r="520" customFormat="false" ht="15" hidden="false" customHeight="false" outlineLevel="0" collapsed="false">
      <c r="A520" s="7" t="s">
        <v>54</v>
      </c>
      <c r="B520" s="7" t="s">
        <v>67</v>
      </c>
      <c r="C520" s="7" t="s">
        <v>96</v>
      </c>
      <c r="D520" s="7" t="s">
        <v>172</v>
      </c>
      <c r="E520" s="16" t="str">
        <f aca="false">HYPERLINK("https://www.google.com/maps/search/"&amp;SUBSTITUTE(C520&amp;" "&amp;D520&amp;" "&amp;A520," ","+"),"Open Maps")</f>
        <v>Open Maps</v>
      </c>
      <c r="F520" s="15" t="s">
        <v>184</v>
      </c>
      <c r="G520" s="15"/>
    </row>
    <row r="521" customFormat="false" ht="15" hidden="false" customHeight="false" outlineLevel="0" collapsed="false">
      <c r="A521" s="7" t="s">
        <v>54</v>
      </c>
      <c r="B521" s="7" t="s">
        <v>67</v>
      </c>
      <c r="C521" s="7" t="s">
        <v>96</v>
      </c>
      <c r="D521" s="7" t="s">
        <v>173</v>
      </c>
      <c r="E521" s="16" t="str">
        <f aca="false">HYPERLINK("https://www.google.com/maps/search/"&amp;SUBSTITUTE(C521&amp;" "&amp;D521&amp;" "&amp;A521," ","+"),"Open Maps")</f>
        <v>Open Maps</v>
      </c>
      <c r="F521" s="15" t="s">
        <v>184</v>
      </c>
      <c r="G521" s="15"/>
    </row>
    <row r="522" customFormat="false" ht="15" hidden="false" customHeight="false" outlineLevel="0" collapsed="false">
      <c r="A522" s="7" t="s">
        <v>54</v>
      </c>
      <c r="B522" s="7" t="s">
        <v>67</v>
      </c>
      <c r="C522" s="7" t="s">
        <v>96</v>
      </c>
      <c r="D522" s="7" t="s">
        <v>174</v>
      </c>
      <c r="E522" s="16" t="str">
        <f aca="false">HYPERLINK("https://www.google.com/maps/search/"&amp;SUBSTITUTE(C522&amp;" "&amp;D522&amp;" "&amp;A522," ","+"),"Open Maps")</f>
        <v>Open Maps</v>
      </c>
      <c r="F522" s="15" t="s">
        <v>184</v>
      </c>
      <c r="G522" s="15"/>
    </row>
    <row r="523" customFormat="false" ht="15" hidden="false" customHeight="false" outlineLevel="0" collapsed="false">
      <c r="A523" s="7" t="s">
        <v>54</v>
      </c>
      <c r="B523" s="7" t="s">
        <v>67</v>
      </c>
      <c r="C523" s="7" t="s">
        <v>97</v>
      </c>
      <c r="D523" s="7" t="s">
        <v>171</v>
      </c>
      <c r="E523" s="16" t="str">
        <f aca="false">HYPERLINK("https://www.google.com/maps/search/"&amp;SUBSTITUTE(C523&amp;" "&amp;D523&amp;" "&amp;A523," ","+"),"Open Maps")</f>
        <v>Open Maps</v>
      </c>
      <c r="F523" s="15" t="s">
        <v>184</v>
      </c>
      <c r="G523" s="15"/>
    </row>
    <row r="524" customFormat="false" ht="15" hidden="false" customHeight="false" outlineLevel="0" collapsed="false">
      <c r="A524" s="7" t="s">
        <v>54</v>
      </c>
      <c r="B524" s="7" t="s">
        <v>67</v>
      </c>
      <c r="C524" s="7" t="s">
        <v>97</v>
      </c>
      <c r="D524" s="7" t="s">
        <v>172</v>
      </c>
      <c r="E524" s="16" t="str">
        <f aca="false">HYPERLINK("https://www.google.com/maps/search/"&amp;SUBSTITUTE(C524&amp;" "&amp;D524&amp;" "&amp;A524," ","+"),"Open Maps")</f>
        <v>Open Maps</v>
      </c>
      <c r="F524" s="15" t="s">
        <v>184</v>
      </c>
      <c r="G524" s="15"/>
    </row>
    <row r="525" customFormat="false" ht="15" hidden="false" customHeight="false" outlineLevel="0" collapsed="false">
      <c r="A525" s="7" t="s">
        <v>54</v>
      </c>
      <c r="B525" s="7" t="s">
        <v>67</v>
      </c>
      <c r="C525" s="7" t="s">
        <v>97</v>
      </c>
      <c r="D525" s="7" t="s">
        <v>173</v>
      </c>
      <c r="E525" s="16" t="str">
        <f aca="false">HYPERLINK("https://www.google.com/maps/search/"&amp;SUBSTITUTE(C525&amp;" "&amp;D525&amp;" "&amp;A525," ","+"),"Open Maps")</f>
        <v>Open Maps</v>
      </c>
      <c r="F525" s="15" t="s">
        <v>184</v>
      </c>
      <c r="G525" s="15"/>
    </row>
    <row r="526" customFormat="false" ht="15" hidden="false" customHeight="false" outlineLevel="0" collapsed="false">
      <c r="A526" s="7" t="s">
        <v>54</v>
      </c>
      <c r="B526" s="7" t="s">
        <v>67</v>
      </c>
      <c r="C526" s="7" t="s">
        <v>97</v>
      </c>
      <c r="D526" s="7" t="s">
        <v>174</v>
      </c>
      <c r="E526" s="16" t="str">
        <f aca="false">HYPERLINK("https://www.google.com/maps/search/"&amp;SUBSTITUTE(C526&amp;" "&amp;D526&amp;" "&amp;A526," ","+"),"Open Maps")</f>
        <v>Open Maps</v>
      </c>
      <c r="F526" s="15" t="s">
        <v>184</v>
      </c>
      <c r="G526" s="15"/>
    </row>
    <row r="527" customFormat="false" ht="15" hidden="false" customHeight="false" outlineLevel="0" collapsed="false">
      <c r="A527" s="7" t="s">
        <v>54</v>
      </c>
      <c r="B527" s="7" t="s">
        <v>67</v>
      </c>
      <c r="C527" s="7" t="s">
        <v>99</v>
      </c>
      <c r="D527" s="7" t="s">
        <v>171</v>
      </c>
      <c r="E527" s="16" t="str">
        <f aca="false">HYPERLINK("https://www.google.com/maps/search/"&amp;SUBSTITUTE(C527&amp;" "&amp;D527&amp;" "&amp;A527," ","+"),"Open Maps")</f>
        <v>Open Maps</v>
      </c>
      <c r="F527" s="15" t="s">
        <v>184</v>
      </c>
      <c r="G527" s="15"/>
    </row>
    <row r="528" customFormat="false" ht="15" hidden="false" customHeight="false" outlineLevel="0" collapsed="false">
      <c r="A528" s="7" t="s">
        <v>54</v>
      </c>
      <c r="B528" s="7" t="s">
        <v>67</v>
      </c>
      <c r="C528" s="7" t="s">
        <v>99</v>
      </c>
      <c r="D528" s="7" t="s">
        <v>172</v>
      </c>
      <c r="E528" s="16" t="str">
        <f aca="false">HYPERLINK("https://www.google.com/maps/search/"&amp;SUBSTITUTE(C528&amp;" "&amp;D528&amp;" "&amp;A528," ","+"),"Open Maps")</f>
        <v>Open Maps</v>
      </c>
      <c r="F528" s="15" t="s">
        <v>184</v>
      </c>
      <c r="G528" s="15"/>
    </row>
    <row r="529" customFormat="false" ht="15" hidden="false" customHeight="false" outlineLevel="0" collapsed="false">
      <c r="A529" s="7" t="s">
        <v>54</v>
      </c>
      <c r="B529" s="7" t="s">
        <v>67</v>
      </c>
      <c r="C529" s="7" t="s">
        <v>99</v>
      </c>
      <c r="D529" s="7" t="s">
        <v>173</v>
      </c>
      <c r="E529" s="16" t="str">
        <f aca="false">HYPERLINK("https://www.google.com/maps/search/"&amp;SUBSTITUTE(C529&amp;" "&amp;D529&amp;" "&amp;A529," ","+"),"Open Maps")</f>
        <v>Open Maps</v>
      </c>
      <c r="F529" s="15" t="s">
        <v>184</v>
      </c>
      <c r="G529" s="15"/>
    </row>
    <row r="530" customFormat="false" ht="15" hidden="false" customHeight="false" outlineLevel="0" collapsed="false">
      <c r="A530" s="7" t="s">
        <v>54</v>
      </c>
      <c r="B530" s="7" t="s">
        <v>67</v>
      </c>
      <c r="C530" s="7" t="s">
        <v>99</v>
      </c>
      <c r="D530" s="7" t="s">
        <v>174</v>
      </c>
      <c r="E530" s="16" t="str">
        <f aca="false">HYPERLINK("https://www.google.com/maps/search/"&amp;SUBSTITUTE(C530&amp;" "&amp;D530&amp;" "&amp;A530," ","+"),"Open Maps")</f>
        <v>Open Maps</v>
      </c>
      <c r="F530" s="15" t="s">
        <v>184</v>
      </c>
      <c r="G530" s="15"/>
    </row>
    <row r="531" customFormat="false" ht="15" hidden="false" customHeight="false" outlineLevel="0" collapsed="false">
      <c r="A531" s="7" t="s">
        <v>54</v>
      </c>
      <c r="B531" s="7" t="s">
        <v>67</v>
      </c>
      <c r="C531" s="7" t="s">
        <v>100</v>
      </c>
      <c r="D531" s="7" t="s">
        <v>171</v>
      </c>
      <c r="E531" s="16" t="str">
        <f aca="false">HYPERLINK("https://www.google.com/maps/search/"&amp;SUBSTITUTE(C531&amp;" "&amp;D531&amp;" "&amp;A531," ","+"),"Open Maps")</f>
        <v>Open Maps</v>
      </c>
      <c r="F531" s="15" t="s">
        <v>184</v>
      </c>
      <c r="G531" s="15"/>
    </row>
    <row r="532" customFormat="false" ht="15" hidden="false" customHeight="false" outlineLevel="0" collapsed="false">
      <c r="A532" s="7" t="s">
        <v>54</v>
      </c>
      <c r="B532" s="7" t="s">
        <v>67</v>
      </c>
      <c r="C532" s="7" t="s">
        <v>100</v>
      </c>
      <c r="D532" s="7" t="s">
        <v>172</v>
      </c>
      <c r="E532" s="16" t="str">
        <f aca="false">HYPERLINK("https://www.google.com/maps/search/"&amp;SUBSTITUTE(C532&amp;" "&amp;D532&amp;" "&amp;A532," ","+"),"Open Maps")</f>
        <v>Open Maps</v>
      </c>
      <c r="F532" s="15" t="s">
        <v>184</v>
      </c>
      <c r="G532" s="15"/>
    </row>
    <row r="533" customFormat="false" ht="15" hidden="false" customHeight="false" outlineLevel="0" collapsed="false">
      <c r="A533" s="7" t="s">
        <v>54</v>
      </c>
      <c r="B533" s="7" t="s">
        <v>67</v>
      </c>
      <c r="C533" s="7" t="s">
        <v>100</v>
      </c>
      <c r="D533" s="7" t="s">
        <v>173</v>
      </c>
      <c r="E533" s="16" t="str">
        <f aca="false">HYPERLINK("https://www.google.com/maps/search/"&amp;SUBSTITUTE(C533&amp;" "&amp;D533&amp;" "&amp;A533," ","+"),"Open Maps")</f>
        <v>Open Maps</v>
      </c>
      <c r="F533" s="15" t="s">
        <v>184</v>
      </c>
      <c r="G533" s="15"/>
    </row>
    <row r="534" customFormat="false" ht="15" hidden="false" customHeight="false" outlineLevel="0" collapsed="false">
      <c r="A534" s="7" t="s">
        <v>54</v>
      </c>
      <c r="B534" s="7" t="s">
        <v>67</v>
      </c>
      <c r="C534" s="7" t="s">
        <v>100</v>
      </c>
      <c r="D534" s="7" t="s">
        <v>174</v>
      </c>
      <c r="E534" s="16" t="str">
        <f aca="false">HYPERLINK("https://www.google.com/maps/search/"&amp;SUBSTITUTE(C534&amp;" "&amp;D534&amp;" "&amp;A534," ","+"),"Open Maps")</f>
        <v>Open Maps</v>
      </c>
      <c r="F534" s="15" t="s">
        <v>184</v>
      </c>
      <c r="G534" s="15"/>
    </row>
    <row r="535" customFormat="false" ht="15" hidden="false" customHeight="false" outlineLevel="0" collapsed="false">
      <c r="A535" s="7" t="s">
        <v>54</v>
      </c>
      <c r="B535" s="7" t="s">
        <v>67</v>
      </c>
      <c r="C535" s="7" t="s">
        <v>101</v>
      </c>
      <c r="D535" s="7" t="s">
        <v>171</v>
      </c>
      <c r="E535" s="16" t="str">
        <f aca="false">HYPERLINK("https://www.google.com/maps/search/"&amp;SUBSTITUTE(C535&amp;" "&amp;D535&amp;" "&amp;A535," ","+"),"Open Maps")</f>
        <v>Open Maps</v>
      </c>
      <c r="F535" s="15" t="s">
        <v>184</v>
      </c>
      <c r="G535" s="15"/>
    </row>
    <row r="536" customFormat="false" ht="15" hidden="false" customHeight="false" outlineLevel="0" collapsed="false">
      <c r="A536" s="7" t="s">
        <v>54</v>
      </c>
      <c r="B536" s="7" t="s">
        <v>67</v>
      </c>
      <c r="C536" s="7" t="s">
        <v>101</v>
      </c>
      <c r="D536" s="7" t="s">
        <v>172</v>
      </c>
      <c r="E536" s="16" t="str">
        <f aca="false">HYPERLINK("https://www.google.com/maps/search/"&amp;SUBSTITUTE(C536&amp;" "&amp;D536&amp;" "&amp;A536," ","+"),"Open Maps")</f>
        <v>Open Maps</v>
      </c>
      <c r="F536" s="15" t="s">
        <v>184</v>
      </c>
      <c r="G536" s="15"/>
    </row>
    <row r="537" customFormat="false" ht="15" hidden="false" customHeight="false" outlineLevel="0" collapsed="false">
      <c r="A537" s="7" t="s">
        <v>54</v>
      </c>
      <c r="B537" s="7" t="s">
        <v>67</v>
      </c>
      <c r="C537" s="7" t="s">
        <v>101</v>
      </c>
      <c r="D537" s="7" t="s">
        <v>173</v>
      </c>
      <c r="E537" s="16" t="str">
        <f aca="false">HYPERLINK("https://www.google.com/maps/search/"&amp;SUBSTITUTE(C537&amp;" "&amp;D537&amp;" "&amp;A537," ","+"),"Open Maps")</f>
        <v>Open Maps</v>
      </c>
      <c r="F537" s="15" t="s">
        <v>184</v>
      </c>
      <c r="G537" s="15"/>
    </row>
    <row r="538" customFormat="false" ht="15" hidden="false" customHeight="false" outlineLevel="0" collapsed="false">
      <c r="A538" s="7" t="s">
        <v>54</v>
      </c>
      <c r="B538" s="7" t="s">
        <v>67</v>
      </c>
      <c r="C538" s="7" t="s">
        <v>101</v>
      </c>
      <c r="D538" s="7" t="s">
        <v>174</v>
      </c>
      <c r="E538" s="16" t="str">
        <f aca="false">HYPERLINK("https://www.google.com/maps/search/"&amp;SUBSTITUTE(C538&amp;" "&amp;D538&amp;" "&amp;A538," ","+"),"Open Maps")</f>
        <v>Open Maps</v>
      </c>
      <c r="F538" s="15" t="s">
        <v>184</v>
      </c>
      <c r="G538" s="15"/>
    </row>
    <row r="539" customFormat="false" ht="15" hidden="false" customHeight="false" outlineLevel="0" collapsed="false">
      <c r="A539" s="7" t="s">
        <v>54</v>
      </c>
      <c r="B539" s="7" t="s">
        <v>67</v>
      </c>
      <c r="C539" s="7" t="s">
        <v>102</v>
      </c>
      <c r="D539" s="7" t="s">
        <v>171</v>
      </c>
      <c r="E539" s="16" t="str">
        <f aca="false">HYPERLINK("https://www.google.com/maps/search/"&amp;SUBSTITUTE(C539&amp;" "&amp;D539&amp;" "&amp;A539," ","+"),"Open Maps")</f>
        <v>Open Maps</v>
      </c>
      <c r="F539" s="15" t="s">
        <v>184</v>
      </c>
      <c r="G539" s="15"/>
    </row>
    <row r="540" customFormat="false" ht="15" hidden="false" customHeight="false" outlineLevel="0" collapsed="false">
      <c r="A540" s="7" t="s">
        <v>54</v>
      </c>
      <c r="B540" s="7" t="s">
        <v>67</v>
      </c>
      <c r="C540" s="7" t="s">
        <v>102</v>
      </c>
      <c r="D540" s="7" t="s">
        <v>172</v>
      </c>
      <c r="E540" s="16" t="str">
        <f aca="false">HYPERLINK("https://www.google.com/maps/search/"&amp;SUBSTITUTE(C540&amp;" "&amp;D540&amp;" "&amp;A540," ","+"),"Open Maps")</f>
        <v>Open Maps</v>
      </c>
      <c r="F540" s="15" t="s">
        <v>184</v>
      </c>
      <c r="G540" s="15"/>
    </row>
    <row r="541" customFormat="false" ht="15" hidden="false" customHeight="false" outlineLevel="0" collapsed="false">
      <c r="A541" s="7" t="s">
        <v>54</v>
      </c>
      <c r="B541" s="7" t="s">
        <v>67</v>
      </c>
      <c r="C541" s="7" t="s">
        <v>102</v>
      </c>
      <c r="D541" s="7" t="s">
        <v>173</v>
      </c>
      <c r="E541" s="16" t="str">
        <f aca="false">HYPERLINK("https://www.google.com/maps/search/"&amp;SUBSTITUTE(C541&amp;" "&amp;D541&amp;" "&amp;A541," ","+"),"Open Maps")</f>
        <v>Open Maps</v>
      </c>
      <c r="F541" s="15" t="s">
        <v>184</v>
      </c>
      <c r="G541" s="15"/>
    </row>
    <row r="542" customFormat="false" ht="15" hidden="false" customHeight="false" outlineLevel="0" collapsed="false">
      <c r="A542" s="7" t="s">
        <v>54</v>
      </c>
      <c r="B542" s="7" t="s">
        <v>67</v>
      </c>
      <c r="C542" s="7" t="s">
        <v>102</v>
      </c>
      <c r="D542" s="7" t="s">
        <v>174</v>
      </c>
      <c r="E542" s="16" t="str">
        <f aca="false">HYPERLINK("https://www.google.com/maps/search/"&amp;SUBSTITUTE(C542&amp;" "&amp;D542&amp;" "&amp;A542," ","+"),"Open Maps")</f>
        <v>Open Maps</v>
      </c>
      <c r="F542" s="15" t="s">
        <v>184</v>
      </c>
      <c r="G542" s="15"/>
    </row>
    <row r="543" customFormat="false" ht="15" hidden="false" customHeight="false" outlineLevel="0" collapsed="false">
      <c r="A543" s="7" t="s">
        <v>54</v>
      </c>
      <c r="B543" s="7" t="s">
        <v>76</v>
      </c>
      <c r="C543" s="7" t="s">
        <v>77</v>
      </c>
      <c r="D543" s="7" t="s">
        <v>171</v>
      </c>
      <c r="E543" s="16" t="str">
        <f aca="false">HYPERLINK("https://www.google.com/maps/search/"&amp;SUBSTITUTE(C543&amp;" "&amp;D543&amp;" "&amp;A543," ","+"),"Open Maps")</f>
        <v>Open Maps</v>
      </c>
      <c r="F543" s="15" t="s">
        <v>184</v>
      </c>
      <c r="G543" s="15"/>
    </row>
    <row r="544" customFormat="false" ht="15" hidden="false" customHeight="false" outlineLevel="0" collapsed="false">
      <c r="A544" s="7" t="s">
        <v>54</v>
      </c>
      <c r="B544" s="7" t="s">
        <v>76</v>
      </c>
      <c r="C544" s="7" t="s">
        <v>77</v>
      </c>
      <c r="D544" s="7" t="s">
        <v>172</v>
      </c>
      <c r="E544" s="16" t="str">
        <f aca="false">HYPERLINK("https://www.google.com/maps/search/"&amp;SUBSTITUTE(C544&amp;" "&amp;D544&amp;" "&amp;A544," ","+"),"Open Maps")</f>
        <v>Open Maps</v>
      </c>
      <c r="F544" s="15" t="s">
        <v>184</v>
      </c>
      <c r="G544" s="15"/>
    </row>
    <row r="545" customFormat="false" ht="15" hidden="false" customHeight="false" outlineLevel="0" collapsed="false">
      <c r="A545" s="7" t="s">
        <v>54</v>
      </c>
      <c r="B545" s="7" t="s">
        <v>76</v>
      </c>
      <c r="C545" s="7" t="s">
        <v>77</v>
      </c>
      <c r="D545" s="7" t="s">
        <v>173</v>
      </c>
      <c r="E545" s="16" t="str">
        <f aca="false">HYPERLINK("https://www.google.com/maps/search/"&amp;SUBSTITUTE(C545&amp;" "&amp;D545&amp;" "&amp;A545," ","+"),"Open Maps")</f>
        <v>Open Maps</v>
      </c>
      <c r="F545" s="15" t="s">
        <v>184</v>
      </c>
      <c r="G545" s="15"/>
    </row>
    <row r="546" customFormat="false" ht="15" hidden="false" customHeight="false" outlineLevel="0" collapsed="false">
      <c r="A546" s="7" t="s">
        <v>54</v>
      </c>
      <c r="B546" s="7" t="s">
        <v>76</v>
      </c>
      <c r="C546" s="7" t="s">
        <v>77</v>
      </c>
      <c r="D546" s="7" t="s">
        <v>174</v>
      </c>
      <c r="E546" s="16" t="str">
        <f aca="false">HYPERLINK("https://www.google.com/maps/search/"&amp;SUBSTITUTE(C546&amp;" "&amp;D546&amp;" "&amp;A546," ","+"),"Open Maps")</f>
        <v>Open Maps</v>
      </c>
      <c r="F546" s="15" t="s">
        <v>184</v>
      </c>
      <c r="G546" s="15"/>
    </row>
    <row r="547" customFormat="false" ht="15" hidden="false" customHeight="false" outlineLevel="0" collapsed="false">
      <c r="A547" s="7" t="s">
        <v>56</v>
      </c>
      <c r="B547" s="7" t="s">
        <v>64</v>
      </c>
      <c r="C547" s="7" t="s">
        <v>103</v>
      </c>
      <c r="D547" s="7" t="s">
        <v>175</v>
      </c>
      <c r="E547" s="16" t="str">
        <f aca="false">HYPERLINK("https://www.google.com/maps/search/"&amp;SUBSTITUTE(C547&amp;" "&amp;D547&amp;" "&amp;A547," ","+"),"Open Maps")</f>
        <v>Open Maps</v>
      </c>
      <c r="F547" s="15" t="s">
        <v>184</v>
      </c>
      <c r="G547" s="15"/>
    </row>
    <row r="548" customFormat="false" ht="15" hidden="false" customHeight="false" outlineLevel="0" collapsed="false">
      <c r="A548" s="7" t="s">
        <v>56</v>
      </c>
      <c r="B548" s="7" t="s">
        <v>64</v>
      </c>
      <c r="C548" s="7" t="s">
        <v>103</v>
      </c>
      <c r="D548" s="7" t="s">
        <v>176</v>
      </c>
      <c r="E548" s="16" t="str">
        <f aca="false">HYPERLINK("https://www.google.com/maps/search/"&amp;SUBSTITUTE(C548&amp;" "&amp;D548&amp;" "&amp;A548," ","+"),"Open Maps")</f>
        <v>Open Maps</v>
      </c>
      <c r="F548" s="15" t="s">
        <v>184</v>
      </c>
      <c r="G548" s="15"/>
    </row>
    <row r="549" customFormat="false" ht="15" hidden="false" customHeight="false" outlineLevel="0" collapsed="false">
      <c r="A549" s="7" t="s">
        <v>56</v>
      </c>
      <c r="B549" s="7" t="s">
        <v>64</v>
      </c>
      <c r="C549" s="7" t="s">
        <v>103</v>
      </c>
      <c r="D549" s="7" t="s">
        <v>177</v>
      </c>
      <c r="E549" s="16" t="str">
        <f aca="false">HYPERLINK("https://www.google.com/maps/search/"&amp;SUBSTITUTE(C549&amp;" "&amp;D549&amp;" "&amp;A549," ","+"),"Open Maps")</f>
        <v>Open Maps</v>
      </c>
      <c r="F549" s="15" t="s">
        <v>184</v>
      </c>
      <c r="G549" s="15"/>
    </row>
    <row r="550" customFormat="false" ht="15" hidden="false" customHeight="false" outlineLevel="0" collapsed="false">
      <c r="A550" s="7" t="s">
        <v>56</v>
      </c>
      <c r="B550" s="7" t="s">
        <v>64</v>
      </c>
      <c r="C550" s="7" t="s">
        <v>103</v>
      </c>
      <c r="D550" s="7" t="s">
        <v>178</v>
      </c>
      <c r="E550" s="16" t="str">
        <f aca="false">HYPERLINK("https://www.google.com/maps/search/"&amp;SUBSTITUTE(C550&amp;" "&amp;D550&amp;" "&amp;A550," ","+"),"Open Maps")</f>
        <v>Open Maps</v>
      </c>
      <c r="F550" s="15" t="s">
        <v>184</v>
      </c>
      <c r="G550" s="15"/>
    </row>
    <row r="551" customFormat="false" ht="15" hidden="false" customHeight="false" outlineLevel="0" collapsed="false">
      <c r="A551" s="7" t="s">
        <v>56</v>
      </c>
      <c r="B551" s="7" t="s">
        <v>64</v>
      </c>
      <c r="C551" s="7" t="s">
        <v>103</v>
      </c>
      <c r="D551" s="7" t="s">
        <v>179</v>
      </c>
      <c r="E551" s="16" t="str">
        <f aca="false">HYPERLINK("https://www.google.com/maps/search/"&amp;SUBSTITUTE(C551&amp;" "&amp;D551&amp;" "&amp;A551," ","+"),"Open Maps")</f>
        <v>Open Maps</v>
      </c>
      <c r="F551" s="15" t="s">
        <v>184</v>
      </c>
      <c r="G551" s="15"/>
    </row>
    <row r="552" customFormat="false" ht="15" hidden="false" customHeight="false" outlineLevel="0" collapsed="false">
      <c r="A552" s="7" t="s">
        <v>56</v>
      </c>
      <c r="B552" s="7" t="s">
        <v>64</v>
      </c>
      <c r="C552" s="7" t="s">
        <v>103</v>
      </c>
      <c r="D552" s="7" t="s">
        <v>180</v>
      </c>
      <c r="E552" s="16" t="str">
        <f aca="false">HYPERLINK("https://www.google.com/maps/search/"&amp;SUBSTITUTE(C552&amp;" "&amp;D552&amp;" "&amp;A552," ","+"),"Open Maps")</f>
        <v>Open Maps</v>
      </c>
      <c r="F552" s="15" t="s">
        <v>184</v>
      </c>
      <c r="G552" s="15"/>
    </row>
    <row r="553" customFormat="false" ht="15" hidden="false" customHeight="false" outlineLevel="0" collapsed="false">
      <c r="A553" s="7" t="s">
        <v>56</v>
      </c>
      <c r="B553" s="7" t="s">
        <v>64</v>
      </c>
      <c r="C553" s="7" t="s">
        <v>87</v>
      </c>
      <c r="D553" s="7" t="s">
        <v>175</v>
      </c>
      <c r="E553" s="16" t="str">
        <f aca="false">HYPERLINK("https://www.google.com/maps/search/"&amp;SUBSTITUTE(C553&amp;" "&amp;D553&amp;" "&amp;A553," ","+"),"Open Maps")</f>
        <v>Open Maps</v>
      </c>
      <c r="F553" s="15" t="s">
        <v>184</v>
      </c>
      <c r="G553" s="15"/>
    </row>
    <row r="554" customFormat="false" ht="15" hidden="false" customHeight="false" outlineLevel="0" collapsed="false">
      <c r="A554" s="7" t="s">
        <v>56</v>
      </c>
      <c r="B554" s="7" t="s">
        <v>64</v>
      </c>
      <c r="C554" s="7" t="s">
        <v>87</v>
      </c>
      <c r="D554" s="7" t="s">
        <v>176</v>
      </c>
      <c r="E554" s="16" t="str">
        <f aca="false">HYPERLINK("https://www.google.com/maps/search/"&amp;SUBSTITUTE(C554&amp;" "&amp;D554&amp;" "&amp;A554," ","+"),"Open Maps")</f>
        <v>Open Maps</v>
      </c>
      <c r="F554" s="15" t="s">
        <v>184</v>
      </c>
      <c r="G554" s="15"/>
    </row>
    <row r="555" customFormat="false" ht="15" hidden="false" customHeight="false" outlineLevel="0" collapsed="false">
      <c r="A555" s="7" t="s">
        <v>56</v>
      </c>
      <c r="B555" s="7" t="s">
        <v>64</v>
      </c>
      <c r="C555" s="7" t="s">
        <v>87</v>
      </c>
      <c r="D555" s="7" t="s">
        <v>177</v>
      </c>
      <c r="E555" s="16" t="str">
        <f aca="false">HYPERLINK("https://www.google.com/maps/search/"&amp;SUBSTITUTE(C555&amp;" "&amp;D555&amp;" "&amp;A555," ","+"),"Open Maps")</f>
        <v>Open Maps</v>
      </c>
      <c r="F555" s="15" t="s">
        <v>184</v>
      </c>
      <c r="G555" s="15"/>
    </row>
    <row r="556" customFormat="false" ht="15" hidden="false" customHeight="false" outlineLevel="0" collapsed="false">
      <c r="A556" s="7" t="s">
        <v>56</v>
      </c>
      <c r="B556" s="7" t="s">
        <v>64</v>
      </c>
      <c r="C556" s="7" t="s">
        <v>87</v>
      </c>
      <c r="D556" s="7" t="s">
        <v>178</v>
      </c>
      <c r="E556" s="16" t="str">
        <f aca="false">HYPERLINK("https://www.google.com/maps/search/"&amp;SUBSTITUTE(C556&amp;" "&amp;D556&amp;" "&amp;A556," ","+"),"Open Maps")</f>
        <v>Open Maps</v>
      </c>
      <c r="F556" s="15" t="s">
        <v>184</v>
      </c>
      <c r="G556" s="15"/>
    </row>
    <row r="557" customFormat="false" ht="15" hidden="false" customHeight="false" outlineLevel="0" collapsed="false">
      <c r="A557" s="7" t="s">
        <v>56</v>
      </c>
      <c r="B557" s="7" t="s">
        <v>64</v>
      </c>
      <c r="C557" s="7" t="s">
        <v>87</v>
      </c>
      <c r="D557" s="7" t="s">
        <v>179</v>
      </c>
      <c r="E557" s="16" t="str">
        <f aca="false">HYPERLINK("https://www.google.com/maps/search/"&amp;SUBSTITUTE(C557&amp;" "&amp;D557&amp;" "&amp;A557," ","+"),"Open Maps")</f>
        <v>Open Maps</v>
      </c>
      <c r="F557" s="15" t="s">
        <v>184</v>
      </c>
      <c r="G557" s="15"/>
    </row>
    <row r="558" customFormat="false" ht="15" hidden="false" customHeight="false" outlineLevel="0" collapsed="false">
      <c r="A558" s="7" t="s">
        <v>56</v>
      </c>
      <c r="B558" s="7" t="s">
        <v>64</v>
      </c>
      <c r="C558" s="7" t="s">
        <v>87</v>
      </c>
      <c r="D558" s="7" t="s">
        <v>180</v>
      </c>
      <c r="E558" s="16" t="str">
        <f aca="false">HYPERLINK("https://www.google.com/maps/search/"&amp;SUBSTITUTE(C558&amp;" "&amp;D558&amp;" "&amp;A558," ","+"),"Open Maps")</f>
        <v>Open Maps</v>
      </c>
      <c r="F558" s="15" t="s">
        <v>184</v>
      </c>
      <c r="G558" s="15"/>
    </row>
    <row r="559" customFormat="false" ht="15" hidden="false" customHeight="false" outlineLevel="0" collapsed="false">
      <c r="A559" s="7" t="s">
        <v>56</v>
      </c>
      <c r="B559" s="7" t="s">
        <v>67</v>
      </c>
      <c r="C559" s="7" t="s">
        <v>104</v>
      </c>
      <c r="D559" s="7" t="s">
        <v>175</v>
      </c>
      <c r="E559" s="16" t="str">
        <f aca="false">HYPERLINK("https://www.google.com/maps/search/"&amp;SUBSTITUTE(C559&amp;" "&amp;D559&amp;" "&amp;A559," ","+"),"Open Maps")</f>
        <v>Open Maps</v>
      </c>
      <c r="F559" s="15" t="s">
        <v>184</v>
      </c>
      <c r="G559" s="15"/>
    </row>
    <row r="560" customFormat="false" ht="15" hidden="false" customHeight="false" outlineLevel="0" collapsed="false">
      <c r="A560" s="7" t="s">
        <v>56</v>
      </c>
      <c r="B560" s="7" t="s">
        <v>67</v>
      </c>
      <c r="C560" s="7" t="s">
        <v>104</v>
      </c>
      <c r="D560" s="7" t="s">
        <v>176</v>
      </c>
      <c r="E560" s="16" t="str">
        <f aca="false">HYPERLINK("https://www.google.com/maps/search/"&amp;SUBSTITUTE(C560&amp;" "&amp;D560&amp;" "&amp;A560," ","+"),"Open Maps")</f>
        <v>Open Maps</v>
      </c>
      <c r="F560" s="15" t="s">
        <v>184</v>
      </c>
      <c r="G560" s="15"/>
    </row>
    <row r="561" customFormat="false" ht="15" hidden="false" customHeight="false" outlineLevel="0" collapsed="false">
      <c r="A561" s="7" t="s">
        <v>56</v>
      </c>
      <c r="B561" s="7" t="s">
        <v>67</v>
      </c>
      <c r="C561" s="7" t="s">
        <v>104</v>
      </c>
      <c r="D561" s="7" t="s">
        <v>177</v>
      </c>
      <c r="E561" s="16" t="str">
        <f aca="false">HYPERLINK("https://www.google.com/maps/search/"&amp;SUBSTITUTE(C561&amp;" "&amp;D561&amp;" "&amp;A561," ","+"),"Open Maps")</f>
        <v>Open Maps</v>
      </c>
      <c r="F561" s="15" t="s">
        <v>184</v>
      </c>
      <c r="G561" s="15"/>
    </row>
    <row r="562" customFormat="false" ht="15" hidden="false" customHeight="false" outlineLevel="0" collapsed="false">
      <c r="A562" s="7" t="s">
        <v>56</v>
      </c>
      <c r="B562" s="7" t="s">
        <v>67</v>
      </c>
      <c r="C562" s="7" t="s">
        <v>104</v>
      </c>
      <c r="D562" s="7" t="s">
        <v>178</v>
      </c>
      <c r="E562" s="16" t="str">
        <f aca="false">HYPERLINK("https://www.google.com/maps/search/"&amp;SUBSTITUTE(C562&amp;" "&amp;D562&amp;" "&amp;A562," ","+"),"Open Maps")</f>
        <v>Open Maps</v>
      </c>
      <c r="F562" s="15" t="s">
        <v>184</v>
      </c>
      <c r="G562" s="15"/>
    </row>
    <row r="563" customFormat="false" ht="15" hidden="false" customHeight="false" outlineLevel="0" collapsed="false">
      <c r="A563" s="7" t="s">
        <v>56</v>
      </c>
      <c r="B563" s="7" t="s">
        <v>67</v>
      </c>
      <c r="C563" s="7" t="s">
        <v>104</v>
      </c>
      <c r="D563" s="7" t="s">
        <v>179</v>
      </c>
      <c r="E563" s="16" t="str">
        <f aca="false">HYPERLINK("https://www.google.com/maps/search/"&amp;SUBSTITUTE(C563&amp;" "&amp;D563&amp;" "&amp;A563," ","+"),"Open Maps")</f>
        <v>Open Maps</v>
      </c>
      <c r="F563" s="15" t="s">
        <v>184</v>
      </c>
      <c r="G563" s="15"/>
    </row>
    <row r="564" customFormat="false" ht="15" hidden="false" customHeight="false" outlineLevel="0" collapsed="false">
      <c r="A564" s="7" t="s">
        <v>56</v>
      </c>
      <c r="B564" s="7" t="s">
        <v>67</v>
      </c>
      <c r="C564" s="7" t="s">
        <v>104</v>
      </c>
      <c r="D564" s="7" t="s">
        <v>180</v>
      </c>
      <c r="E564" s="16" t="str">
        <f aca="false">HYPERLINK("https://www.google.com/maps/search/"&amp;SUBSTITUTE(C564&amp;" "&amp;D564&amp;" "&amp;A564," ","+"),"Open Maps")</f>
        <v>Open Maps</v>
      </c>
      <c r="F564" s="15" t="s">
        <v>184</v>
      </c>
      <c r="G564" s="15"/>
    </row>
    <row r="565" customFormat="false" ht="15" hidden="false" customHeight="false" outlineLevel="0" collapsed="false">
      <c r="A565" s="7" t="s">
        <v>56</v>
      </c>
      <c r="B565" s="7" t="s">
        <v>67</v>
      </c>
      <c r="C565" s="7" t="s">
        <v>105</v>
      </c>
      <c r="D565" s="7" t="s">
        <v>175</v>
      </c>
      <c r="E565" s="16" t="str">
        <f aca="false">HYPERLINK("https://www.google.com/maps/search/"&amp;SUBSTITUTE(C565&amp;" "&amp;D565&amp;" "&amp;A565," ","+"),"Open Maps")</f>
        <v>Open Maps</v>
      </c>
      <c r="F565" s="15" t="s">
        <v>184</v>
      </c>
      <c r="G565" s="15"/>
    </row>
    <row r="566" customFormat="false" ht="15" hidden="false" customHeight="false" outlineLevel="0" collapsed="false">
      <c r="A566" s="7" t="s">
        <v>56</v>
      </c>
      <c r="B566" s="7" t="s">
        <v>67</v>
      </c>
      <c r="C566" s="7" t="s">
        <v>105</v>
      </c>
      <c r="D566" s="7" t="s">
        <v>176</v>
      </c>
      <c r="E566" s="16" t="str">
        <f aca="false">HYPERLINK("https://www.google.com/maps/search/"&amp;SUBSTITUTE(C566&amp;" "&amp;D566&amp;" "&amp;A566," ","+"),"Open Maps")</f>
        <v>Open Maps</v>
      </c>
      <c r="F566" s="15" t="s">
        <v>184</v>
      </c>
      <c r="G566" s="15"/>
    </row>
    <row r="567" customFormat="false" ht="15" hidden="false" customHeight="false" outlineLevel="0" collapsed="false">
      <c r="A567" s="7" t="s">
        <v>56</v>
      </c>
      <c r="B567" s="7" t="s">
        <v>67</v>
      </c>
      <c r="C567" s="7" t="s">
        <v>105</v>
      </c>
      <c r="D567" s="7" t="s">
        <v>177</v>
      </c>
      <c r="E567" s="16" t="str">
        <f aca="false">HYPERLINK("https://www.google.com/maps/search/"&amp;SUBSTITUTE(C567&amp;" "&amp;D567&amp;" "&amp;A567," ","+"),"Open Maps")</f>
        <v>Open Maps</v>
      </c>
      <c r="F567" s="15" t="s">
        <v>184</v>
      </c>
      <c r="G567" s="15"/>
    </row>
    <row r="568" customFormat="false" ht="15" hidden="false" customHeight="false" outlineLevel="0" collapsed="false">
      <c r="A568" s="7" t="s">
        <v>56</v>
      </c>
      <c r="B568" s="7" t="s">
        <v>67</v>
      </c>
      <c r="C568" s="7" t="s">
        <v>105</v>
      </c>
      <c r="D568" s="7" t="s">
        <v>178</v>
      </c>
      <c r="E568" s="16" t="str">
        <f aca="false">HYPERLINK("https://www.google.com/maps/search/"&amp;SUBSTITUTE(C568&amp;" "&amp;D568&amp;" "&amp;A568," ","+"),"Open Maps")</f>
        <v>Open Maps</v>
      </c>
      <c r="F568" s="15" t="s">
        <v>184</v>
      </c>
      <c r="G568" s="15"/>
    </row>
    <row r="569" customFormat="false" ht="15" hidden="false" customHeight="false" outlineLevel="0" collapsed="false">
      <c r="A569" s="7" t="s">
        <v>56</v>
      </c>
      <c r="B569" s="7" t="s">
        <v>67</v>
      </c>
      <c r="C569" s="7" t="s">
        <v>105</v>
      </c>
      <c r="D569" s="7" t="s">
        <v>179</v>
      </c>
      <c r="E569" s="16" t="str">
        <f aca="false">HYPERLINK("https://www.google.com/maps/search/"&amp;SUBSTITUTE(C569&amp;" "&amp;D569&amp;" "&amp;A569," ","+"),"Open Maps")</f>
        <v>Open Maps</v>
      </c>
      <c r="F569" s="15" t="s">
        <v>184</v>
      </c>
      <c r="G569" s="15"/>
    </row>
    <row r="570" customFormat="false" ht="15" hidden="false" customHeight="false" outlineLevel="0" collapsed="false">
      <c r="A570" s="7" t="s">
        <v>56</v>
      </c>
      <c r="B570" s="7" t="s">
        <v>67</v>
      </c>
      <c r="C570" s="7" t="s">
        <v>105</v>
      </c>
      <c r="D570" s="7" t="s">
        <v>180</v>
      </c>
      <c r="E570" s="16" t="str">
        <f aca="false">HYPERLINK("https://www.google.com/maps/search/"&amp;SUBSTITUTE(C570&amp;" "&amp;D570&amp;" "&amp;A570," ","+"),"Open Maps")</f>
        <v>Open Maps</v>
      </c>
      <c r="F570" s="15" t="s">
        <v>184</v>
      </c>
      <c r="G570" s="15"/>
    </row>
    <row r="571" customFormat="false" ht="15" hidden="false" customHeight="false" outlineLevel="0" collapsed="false">
      <c r="A571" s="7" t="s">
        <v>56</v>
      </c>
      <c r="B571" s="7" t="s">
        <v>67</v>
      </c>
      <c r="C571" s="7" t="s">
        <v>106</v>
      </c>
      <c r="D571" s="7" t="s">
        <v>175</v>
      </c>
      <c r="E571" s="16" t="str">
        <f aca="false">HYPERLINK("https://www.google.com/maps/search/"&amp;SUBSTITUTE(C571&amp;" "&amp;D571&amp;" "&amp;A571," ","+"),"Open Maps")</f>
        <v>Open Maps</v>
      </c>
      <c r="F571" s="15" t="s">
        <v>184</v>
      </c>
      <c r="G571" s="15"/>
    </row>
    <row r="572" customFormat="false" ht="15" hidden="false" customHeight="false" outlineLevel="0" collapsed="false">
      <c r="A572" s="7" t="s">
        <v>56</v>
      </c>
      <c r="B572" s="7" t="s">
        <v>67</v>
      </c>
      <c r="C572" s="7" t="s">
        <v>106</v>
      </c>
      <c r="D572" s="7" t="s">
        <v>176</v>
      </c>
      <c r="E572" s="16" t="str">
        <f aca="false">HYPERLINK("https://www.google.com/maps/search/"&amp;SUBSTITUTE(C572&amp;" "&amp;D572&amp;" "&amp;A572," ","+"),"Open Maps")</f>
        <v>Open Maps</v>
      </c>
      <c r="F572" s="15" t="s">
        <v>184</v>
      </c>
      <c r="G572" s="15"/>
    </row>
    <row r="573" customFormat="false" ht="15" hidden="false" customHeight="false" outlineLevel="0" collapsed="false">
      <c r="A573" s="7" t="s">
        <v>56</v>
      </c>
      <c r="B573" s="7" t="s">
        <v>67</v>
      </c>
      <c r="C573" s="7" t="s">
        <v>106</v>
      </c>
      <c r="D573" s="7" t="s">
        <v>177</v>
      </c>
      <c r="E573" s="16" t="str">
        <f aca="false">HYPERLINK("https://www.google.com/maps/search/"&amp;SUBSTITUTE(C573&amp;" "&amp;D573&amp;" "&amp;A573," ","+"),"Open Maps")</f>
        <v>Open Maps</v>
      </c>
      <c r="F573" s="15" t="s">
        <v>184</v>
      </c>
      <c r="G573" s="15"/>
    </row>
    <row r="574" customFormat="false" ht="15" hidden="false" customHeight="false" outlineLevel="0" collapsed="false">
      <c r="A574" s="7" t="s">
        <v>56</v>
      </c>
      <c r="B574" s="7" t="s">
        <v>67</v>
      </c>
      <c r="C574" s="7" t="s">
        <v>106</v>
      </c>
      <c r="D574" s="7" t="s">
        <v>178</v>
      </c>
      <c r="E574" s="16" t="str">
        <f aca="false">HYPERLINK("https://www.google.com/maps/search/"&amp;SUBSTITUTE(C574&amp;" "&amp;D574&amp;" "&amp;A574," ","+"),"Open Maps")</f>
        <v>Open Maps</v>
      </c>
      <c r="F574" s="15" t="s">
        <v>184</v>
      </c>
      <c r="G574" s="15"/>
    </row>
    <row r="575" customFormat="false" ht="15" hidden="false" customHeight="false" outlineLevel="0" collapsed="false">
      <c r="A575" s="7" t="s">
        <v>56</v>
      </c>
      <c r="B575" s="7" t="s">
        <v>67</v>
      </c>
      <c r="C575" s="7" t="s">
        <v>106</v>
      </c>
      <c r="D575" s="7" t="s">
        <v>179</v>
      </c>
      <c r="E575" s="16" t="str">
        <f aca="false">HYPERLINK("https://www.google.com/maps/search/"&amp;SUBSTITUTE(C575&amp;" "&amp;D575&amp;" "&amp;A575," ","+"),"Open Maps")</f>
        <v>Open Maps</v>
      </c>
      <c r="F575" s="15" t="s">
        <v>184</v>
      </c>
      <c r="G575" s="15"/>
    </row>
    <row r="576" customFormat="false" ht="15" hidden="false" customHeight="false" outlineLevel="0" collapsed="false">
      <c r="A576" s="7" t="s">
        <v>56</v>
      </c>
      <c r="B576" s="7" t="s">
        <v>67</v>
      </c>
      <c r="C576" s="7" t="s">
        <v>106</v>
      </c>
      <c r="D576" s="7" t="s">
        <v>180</v>
      </c>
      <c r="E576" s="16" t="str">
        <f aca="false">HYPERLINK("https://www.google.com/maps/search/"&amp;SUBSTITUTE(C576&amp;" "&amp;D576&amp;" "&amp;A576," ","+"),"Open Maps")</f>
        <v>Open Maps</v>
      </c>
      <c r="F576" s="15" t="s">
        <v>184</v>
      </c>
      <c r="G576" s="15"/>
    </row>
    <row r="577" customFormat="false" ht="15" hidden="false" customHeight="false" outlineLevel="0" collapsed="false">
      <c r="A577" s="7" t="s">
        <v>56</v>
      </c>
      <c r="B577" s="7" t="s">
        <v>67</v>
      </c>
      <c r="C577" s="7" t="s">
        <v>107</v>
      </c>
      <c r="D577" s="7" t="s">
        <v>175</v>
      </c>
      <c r="E577" s="16" t="str">
        <f aca="false">HYPERLINK("https://www.google.com/maps/search/"&amp;SUBSTITUTE(C577&amp;" "&amp;D577&amp;" "&amp;A577," ","+"),"Open Maps")</f>
        <v>Open Maps</v>
      </c>
      <c r="F577" s="15" t="s">
        <v>184</v>
      </c>
      <c r="G577" s="15"/>
    </row>
    <row r="578" customFormat="false" ht="15" hidden="false" customHeight="false" outlineLevel="0" collapsed="false">
      <c r="A578" s="7" t="s">
        <v>56</v>
      </c>
      <c r="B578" s="7" t="s">
        <v>67</v>
      </c>
      <c r="C578" s="7" t="s">
        <v>107</v>
      </c>
      <c r="D578" s="7" t="s">
        <v>176</v>
      </c>
      <c r="E578" s="16" t="str">
        <f aca="false">HYPERLINK("https://www.google.com/maps/search/"&amp;SUBSTITUTE(C578&amp;" "&amp;D578&amp;" "&amp;A578," ","+"),"Open Maps")</f>
        <v>Open Maps</v>
      </c>
      <c r="F578" s="15" t="s">
        <v>184</v>
      </c>
      <c r="G578" s="15"/>
    </row>
    <row r="579" customFormat="false" ht="15" hidden="false" customHeight="false" outlineLevel="0" collapsed="false">
      <c r="A579" s="7" t="s">
        <v>56</v>
      </c>
      <c r="B579" s="7" t="s">
        <v>67</v>
      </c>
      <c r="C579" s="7" t="s">
        <v>107</v>
      </c>
      <c r="D579" s="7" t="s">
        <v>177</v>
      </c>
      <c r="E579" s="16" t="str">
        <f aca="false">HYPERLINK("https://www.google.com/maps/search/"&amp;SUBSTITUTE(C579&amp;" "&amp;D579&amp;" "&amp;A579," ","+"),"Open Maps")</f>
        <v>Open Maps</v>
      </c>
      <c r="F579" s="15" t="s">
        <v>184</v>
      </c>
      <c r="G579" s="15"/>
    </row>
    <row r="580" customFormat="false" ht="15" hidden="false" customHeight="false" outlineLevel="0" collapsed="false">
      <c r="A580" s="7" t="s">
        <v>56</v>
      </c>
      <c r="B580" s="7" t="s">
        <v>67</v>
      </c>
      <c r="C580" s="7" t="s">
        <v>107</v>
      </c>
      <c r="D580" s="7" t="s">
        <v>178</v>
      </c>
      <c r="E580" s="16" t="str">
        <f aca="false">HYPERLINK("https://www.google.com/maps/search/"&amp;SUBSTITUTE(C580&amp;" "&amp;D580&amp;" "&amp;A580," ","+"),"Open Maps")</f>
        <v>Open Maps</v>
      </c>
      <c r="F580" s="15" t="s">
        <v>184</v>
      </c>
      <c r="G580" s="15"/>
    </row>
    <row r="581" customFormat="false" ht="15" hidden="false" customHeight="false" outlineLevel="0" collapsed="false">
      <c r="A581" s="7" t="s">
        <v>56</v>
      </c>
      <c r="B581" s="7" t="s">
        <v>67</v>
      </c>
      <c r="C581" s="7" t="s">
        <v>107</v>
      </c>
      <c r="D581" s="7" t="s">
        <v>179</v>
      </c>
      <c r="E581" s="16" t="str">
        <f aca="false">HYPERLINK("https://www.google.com/maps/search/"&amp;SUBSTITUTE(C581&amp;" "&amp;D581&amp;" "&amp;A581," ","+"),"Open Maps")</f>
        <v>Open Maps</v>
      </c>
      <c r="F581" s="15" t="s">
        <v>184</v>
      </c>
      <c r="G581" s="15"/>
    </row>
    <row r="582" customFormat="false" ht="15" hidden="false" customHeight="false" outlineLevel="0" collapsed="false">
      <c r="A582" s="7" t="s">
        <v>56</v>
      </c>
      <c r="B582" s="7" t="s">
        <v>67</v>
      </c>
      <c r="C582" s="7" t="s">
        <v>107</v>
      </c>
      <c r="D582" s="7" t="s">
        <v>180</v>
      </c>
      <c r="E582" s="16" t="str">
        <f aca="false">HYPERLINK("https://www.google.com/maps/search/"&amp;SUBSTITUTE(C582&amp;" "&amp;D582&amp;" "&amp;A582," ","+"),"Open Maps")</f>
        <v>Open Maps</v>
      </c>
      <c r="F582" s="15" t="s">
        <v>184</v>
      </c>
      <c r="G582" s="15"/>
    </row>
    <row r="583" customFormat="false" ht="15" hidden="false" customHeight="false" outlineLevel="0" collapsed="false">
      <c r="A583" s="7" t="s">
        <v>56</v>
      </c>
      <c r="B583" s="7" t="s">
        <v>67</v>
      </c>
      <c r="C583" s="7" t="s">
        <v>108</v>
      </c>
      <c r="D583" s="7" t="s">
        <v>175</v>
      </c>
      <c r="E583" s="16" t="str">
        <f aca="false">HYPERLINK("https://www.google.com/maps/search/"&amp;SUBSTITUTE(C583&amp;" "&amp;D583&amp;" "&amp;A583," ","+"),"Open Maps")</f>
        <v>Open Maps</v>
      </c>
      <c r="F583" s="15" t="s">
        <v>184</v>
      </c>
      <c r="G583" s="15"/>
    </row>
    <row r="584" customFormat="false" ht="15" hidden="false" customHeight="false" outlineLevel="0" collapsed="false">
      <c r="A584" s="7" t="s">
        <v>56</v>
      </c>
      <c r="B584" s="7" t="s">
        <v>67</v>
      </c>
      <c r="C584" s="7" t="s">
        <v>108</v>
      </c>
      <c r="D584" s="7" t="s">
        <v>176</v>
      </c>
      <c r="E584" s="16" t="str">
        <f aca="false">HYPERLINK("https://www.google.com/maps/search/"&amp;SUBSTITUTE(C584&amp;" "&amp;D584&amp;" "&amp;A584," ","+"),"Open Maps")</f>
        <v>Open Maps</v>
      </c>
      <c r="F584" s="15" t="s">
        <v>184</v>
      </c>
      <c r="G584" s="15"/>
    </row>
    <row r="585" customFormat="false" ht="15" hidden="false" customHeight="false" outlineLevel="0" collapsed="false">
      <c r="A585" s="7" t="s">
        <v>56</v>
      </c>
      <c r="B585" s="7" t="s">
        <v>67</v>
      </c>
      <c r="C585" s="7" t="s">
        <v>108</v>
      </c>
      <c r="D585" s="7" t="s">
        <v>177</v>
      </c>
      <c r="E585" s="16" t="str">
        <f aca="false">HYPERLINK("https://www.google.com/maps/search/"&amp;SUBSTITUTE(C585&amp;" "&amp;D585&amp;" "&amp;A585," ","+"),"Open Maps")</f>
        <v>Open Maps</v>
      </c>
      <c r="F585" s="15" t="s">
        <v>184</v>
      </c>
      <c r="G585" s="15"/>
    </row>
    <row r="586" customFormat="false" ht="15" hidden="false" customHeight="false" outlineLevel="0" collapsed="false">
      <c r="A586" s="7" t="s">
        <v>56</v>
      </c>
      <c r="B586" s="7" t="s">
        <v>67</v>
      </c>
      <c r="C586" s="7" t="s">
        <v>108</v>
      </c>
      <c r="D586" s="7" t="s">
        <v>178</v>
      </c>
      <c r="E586" s="16" t="str">
        <f aca="false">HYPERLINK("https://www.google.com/maps/search/"&amp;SUBSTITUTE(C586&amp;" "&amp;D586&amp;" "&amp;A586," ","+"),"Open Maps")</f>
        <v>Open Maps</v>
      </c>
      <c r="F586" s="15" t="s">
        <v>184</v>
      </c>
      <c r="G586" s="15"/>
    </row>
    <row r="587" customFormat="false" ht="15" hidden="false" customHeight="false" outlineLevel="0" collapsed="false">
      <c r="A587" s="7" t="s">
        <v>56</v>
      </c>
      <c r="B587" s="7" t="s">
        <v>67</v>
      </c>
      <c r="C587" s="7" t="s">
        <v>108</v>
      </c>
      <c r="D587" s="7" t="s">
        <v>179</v>
      </c>
      <c r="E587" s="16" t="str">
        <f aca="false">HYPERLINK("https://www.google.com/maps/search/"&amp;SUBSTITUTE(C587&amp;" "&amp;D587&amp;" "&amp;A587," ","+"),"Open Maps")</f>
        <v>Open Maps</v>
      </c>
      <c r="F587" s="15" t="s">
        <v>184</v>
      </c>
      <c r="G587" s="15"/>
    </row>
    <row r="588" customFormat="false" ht="15" hidden="false" customHeight="false" outlineLevel="0" collapsed="false">
      <c r="A588" s="7" t="s">
        <v>56</v>
      </c>
      <c r="B588" s="7" t="s">
        <v>67</v>
      </c>
      <c r="C588" s="7" t="s">
        <v>108</v>
      </c>
      <c r="D588" s="7" t="s">
        <v>180</v>
      </c>
      <c r="E588" s="16" t="str">
        <f aca="false">HYPERLINK("https://www.google.com/maps/search/"&amp;SUBSTITUTE(C588&amp;" "&amp;D588&amp;" "&amp;A588," ","+"),"Open Maps")</f>
        <v>Open Maps</v>
      </c>
      <c r="F588" s="15" t="s">
        <v>184</v>
      </c>
      <c r="G588" s="15"/>
    </row>
    <row r="589" customFormat="false" ht="15" hidden="false" customHeight="false" outlineLevel="0" collapsed="false">
      <c r="A589" s="7" t="s">
        <v>56</v>
      </c>
      <c r="B589" s="7" t="s">
        <v>67</v>
      </c>
      <c r="C589" s="7" t="s">
        <v>109</v>
      </c>
      <c r="D589" s="7" t="s">
        <v>175</v>
      </c>
      <c r="E589" s="16" t="str">
        <f aca="false">HYPERLINK("https://www.google.com/maps/search/"&amp;SUBSTITUTE(C589&amp;" "&amp;D589&amp;" "&amp;A589," ","+"),"Open Maps")</f>
        <v>Open Maps</v>
      </c>
      <c r="F589" s="15" t="s">
        <v>184</v>
      </c>
      <c r="G589" s="15"/>
    </row>
    <row r="590" customFormat="false" ht="15" hidden="false" customHeight="false" outlineLevel="0" collapsed="false">
      <c r="A590" s="7" t="s">
        <v>56</v>
      </c>
      <c r="B590" s="7" t="s">
        <v>67</v>
      </c>
      <c r="C590" s="7" t="s">
        <v>109</v>
      </c>
      <c r="D590" s="7" t="s">
        <v>176</v>
      </c>
      <c r="E590" s="16" t="str">
        <f aca="false">HYPERLINK("https://www.google.com/maps/search/"&amp;SUBSTITUTE(C590&amp;" "&amp;D590&amp;" "&amp;A590," ","+"),"Open Maps")</f>
        <v>Open Maps</v>
      </c>
      <c r="F590" s="15" t="s">
        <v>184</v>
      </c>
      <c r="G590" s="15"/>
    </row>
    <row r="591" customFormat="false" ht="15" hidden="false" customHeight="false" outlineLevel="0" collapsed="false">
      <c r="A591" s="7" t="s">
        <v>56</v>
      </c>
      <c r="B591" s="7" t="s">
        <v>67</v>
      </c>
      <c r="C591" s="7" t="s">
        <v>109</v>
      </c>
      <c r="D591" s="7" t="s">
        <v>177</v>
      </c>
      <c r="E591" s="16" t="str">
        <f aca="false">HYPERLINK("https://www.google.com/maps/search/"&amp;SUBSTITUTE(C591&amp;" "&amp;D591&amp;" "&amp;A591," ","+"),"Open Maps")</f>
        <v>Open Maps</v>
      </c>
      <c r="F591" s="15" t="s">
        <v>184</v>
      </c>
      <c r="G591" s="15"/>
    </row>
    <row r="592" customFormat="false" ht="15" hidden="false" customHeight="false" outlineLevel="0" collapsed="false">
      <c r="A592" s="7" t="s">
        <v>56</v>
      </c>
      <c r="B592" s="7" t="s">
        <v>67</v>
      </c>
      <c r="C592" s="7" t="s">
        <v>109</v>
      </c>
      <c r="D592" s="7" t="s">
        <v>178</v>
      </c>
      <c r="E592" s="16" t="str">
        <f aca="false">HYPERLINK("https://www.google.com/maps/search/"&amp;SUBSTITUTE(C592&amp;" "&amp;D592&amp;" "&amp;A592," ","+"),"Open Maps")</f>
        <v>Open Maps</v>
      </c>
      <c r="F592" s="15" t="s">
        <v>184</v>
      </c>
      <c r="G592" s="15"/>
    </row>
    <row r="593" customFormat="false" ht="15" hidden="false" customHeight="false" outlineLevel="0" collapsed="false">
      <c r="A593" s="7" t="s">
        <v>56</v>
      </c>
      <c r="B593" s="7" t="s">
        <v>67</v>
      </c>
      <c r="C593" s="7" t="s">
        <v>109</v>
      </c>
      <c r="D593" s="7" t="s">
        <v>179</v>
      </c>
      <c r="E593" s="16" t="str">
        <f aca="false">HYPERLINK("https://www.google.com/maps/search/"&amp;SUBSTITUTE(C593&amp;" "&amp;D593&amp;" "&amp;A593," ","+"),"Open Maps")</f>
        <v>Open Maps</v>
      </c>
      <c r="F593" s="15" t="s">
        <v>184</v>
      </c>
      <c r="G593" s="15"/>
    </row>
    <row r="594" customFormat="false" ht="15" hidden="false" customHeight="false" outlineLevel="0" collapsed="false">
      <c r="A594" s="7" t="s">
        <v>56</v>
      </c>
      <c r="B594" s="7" t="s">
        <v>67</v>
      </c>
      <c r="C594" s="7" t="s">
        <v>109</v>
      </c>
      <c r="D594" s="7" t="s">
        <v>180</v>
      </c>
      <c r="E594" s="16" t="str">
        <f aca="false">HYPERLINK("https://www.google.com/maps/search/"&amp;SUBSTITUTE(C594&amp;" "&amp;D594&amp;" "&amp;A594," ","+"),"Open Maps")</f>
        <v>Open Maps</v>
      </c>
      <c r="F594" s="15" t="s">
        <v>184</v>
      </c>
      <c r="G594" s="15"/>
    </row>
    <row r="595" customFormat="false" ht="15" hidden="false" customHeight="false" outlineLevel="0" collapsed="false">
      <c r="A595" s="7" t="s">
        <v>56</v>
      </c>
      <c r="B595" s="7" t="s">
        <v>67</v>
      </c>
      <c r="C595" s="7" t="s">
        <v>110</v>
      </c>
      <c r="D595" s="7" t="s">
        <v>175</v>
      </c>
      <c r="E595" s="16" t="str">
        <f aca="false">HYPERLINK("https://www.google.com/maps/search/"&amp;SUBSTITUTE(C595&amp;" "&amp;D595&amp;" "&amp;A595," ","+"),"Open Maps")</f>
        <v>Open Maps</v>
      </c>
      <c r="F595" s="15" t="s">
        <v>184</v>
      </c>
      <c r="G595" s="15"/>
    </row>
    <row r="596" customFormat="false" ht="15" hidden="false" customHeight="false" outlineLevel="0" collapsed="false">
      <c r="A596" s="7" t="s">
        <v>56</v>
      </c>
      <c r="B596" s="7" t="s">
        <v>67</v>
      </c>
      <c r="C596" s="7" t="s">
        <v>110</v>
      </c>
      <c r="D596" s="7" t="s">
        <v>176</v>
      </c>
      <c r="E596" s="16" t="str">
        <f aca="false">HYPERLINK("https://www.google.com/maps/search/"&amp;SUBSTITUTE(C596&amp;" "&amp;D596&amp;" "&amp;A596," ","+"),"Open Maps")</f>
        <v>Open Maps</v>
      </c>
      <c r="F596" s="15" t="s">
        <v>184</v>
      </c>
      <c r="G596" s="15"/>
    </row>
    <row r="597" customFormat="false" ht="15" hidden="false" customHeight="false" outlineLevel="0" collapsed="false">
      <c r="A597" s="7" t="s">
        <v>56</v>
      </c>
      <c r="B597" s="7" t="s">
        <v>67</v>
      </c>
      <c r="C597" s="7" t="s">
        <v>110</v>
      </c>
      <c r="D597" s="7" t="s">
        <v>177</v>
      </c>
      <c r="E597" s="16" t="str">
        <f aca="false">HYPERLINK("https://www.google.com/maps/search/"&amp;SUBSTITUTE(C597&amp;" "&amp;D597&amp;" "&amp;A597," ","+"),"Open Maps")</f>
        <v>Open Maps</v>
      </c>
      <c r="F597" s="15" t="s">
        <v>184</v>
      </c>
      <c r="G597" s="15"/>
    </row>
    <row r="598" customFormat="false" ht="15" hidden="false" customHeight="false" outlineLevel="0" collapsed="false">
      <c r="A598" s="7" t="s">
        <v>56</v>
      </c>
      <c r="B598" s="7" t="s">
        <v>67</v>
      </c>
      <c r="C598" s="7" t="s">
        <v>110</v>
      </c>
      <c r="D598" s="7" t="s">
        <v>178</v>
      </c>
      <c r="E598" s="16" t="str">
        <f aca="false">HYPERLINK("https://www.google.com/maps/search/"&amp;SUBSTITUTE(C598&amp;" "&amp;D598&amp;" "&amp;A598," ","+"),"Open Maps")</f>
        <v>Open Maps</v>
      </c>
      <c r="F598" s="15" t="s">
        <v>184</v>
      </c>
      <c r="G598" s="15"/>
    </row>
    <row r="599" customFormat="false" ht="15" hidden="false" customHeight="false" outlineLevel="0" collapsed="false">
      <c r="A599" s="7" t="s">
        <v>56</v>
      </c>
      <c r="B599" s="7" t="s">
        <v>67</v>
      </c>
      <c r="C599" s="7" t="s">
        <v>110</v>
      </c>
      <c r="D599" s="7" t="s">
        <v>179</v>
      </c>
      <c r="E599" s="16" t="str">
        <f aca="false">HYPERLINK("https://www.google.com/maps/search/"&amp;SUBSTITUTE(C599&amp;" "&amp;D599&amp;" "&amp;A599," ","+"),"Open Maps")</f>
        <v>Open Maps</v>
      </c>
      <c r="F599" s="15" t="s">
        <v>184</v>
      </c>
      <c r="G599" s="15"/>
    </row>
    <row r="600" customFormat="false" ht="15" hidden="false" customHeight="false" outlineLevel="0" collapsed="false">
      <c r="A600" s="7" t="s">
        <v>56</v>
      </c>
      <c r="B600" s="7" t="s">
        <v>67</v>
      </c>
      <c r="C600" s="7" t="s">
        <v>110</v>
      </c>
      <c r="D600" s="7" t="s">
        <v>180</v>
      </c>
      <c r="E600" s="16" t="str">
        <f aca="false">HYPERLINK("https://www.google.com/maps/search/"&amp;SUBSTITUTE(C600&amp;" "&amp;D600&amp;" "&amp;A600," ","+"),"Open Maps")</f>
        <v>Open Maps</v>
      </c>
      <c r="F600" s="15" t="s">
        <v>184</v>
      </c>
      <c r="G600" s="15"/>
    </row>
    <row r="601" customFormat="false" ht="15" hidden="false" customHeight="false" outlineLevel="0" collapsed="false">
      <c r="A601" s="7" t="s">
        <v>56</v>
      </c>
      <c r="B601" s="7" t="s">
        <v>67</v>
      </c>
      <c r="C601" s="7" t="s">
        <v>89</v>
      </c>
      <c r="D601" s="7" t="s">
        <v>175</v>
      </c>
      <c r="E601" s="16" t="str">
        <f aca="false">HYPERLINK("https://www.google.com/maps/search/"&amp;SUBSTITUTE(C601&amp;" "&amp;D601&amp;" "&amp;A601," ","+"),"Open Maps")</f>
        <v>Open Maps</v>
      </c>
      <c r="F601" s="15" t="s">
        <v>184</v>
      </c>
      <c r="G601" s="15"/>
    </row>
    <row r="602" customFormat="false" ht="15" hidden="false" customHeight="false" outlineLevel="0" collapsed="false">
      <c r="A602" s="7" t="s">
        <v>56</v>
      </c>
      <c r="B602" s="7" t="s">
        <v>67</v>
      </c>
      <c r="C602" s="7" t="s">
        <v>89</v>
      </c>
      <c r="D602" s="7" t="s">
        <v>176</v>
      </c>
      <c r="E602" s="16" t="str">
        <f aca="false">HYPERLINK("https://www.google.com/maps/search/"&amp;SUBSTITUTE(C602&amp;" "&amp;D602&amp;" "&amp;A602," ","+"),"Open Maps")</f>
        <v>Open Maps</v>
      </c>
      <c r="F602" s="15" t="s">
        <v>184</v>
      </c>
      <c r="G602" s="15"/>
    </row>
    <row r="603" customFormat="false" ht="15" hidden="false" customHeight="false" outlineLevel="0" collapsed="false">
      <c r="A603" s="7" t="s">
        <v>56</v>
      </c>
      <c r="B603" s="7" t="s">
        <v>67</v>
      </c>
      <c r="C603" s="7" t="s">
        <v>89</v>
      </c>
      <c r="D603" s="7" t="s">
        <v>177</v>
      </c>
      <c r="E603" s="16" t="str">
        <f aca="false">HYPERLINK("https://www.google.com/maps/search/"&amp;SUBSTITUTE(C603&amp;" "&amp;D603&amp;" "&amp;A603," ","+"),"Open Maps")</f>
        <v>Open Maps</v>
      </c>
      <c r="F603" s="15" t="s">
        <v>184</v>
      </c>
      <c r="G603" s="15"/>
    </row>
    <row r="604" customFormat="false" ht="15" hidden="false" customHeight="false" outlineLevel="0" collapsed="false">
      <c r="A604" s="7" t="s">
        <v>56</v>
      </c>
      <c r="B604" s="7" t="s">
        <v>67</v>
      </c>
      <c r="C604" s="7" t="s">
        <v>89</v>
      </c>
      <c r="D604" s="7" t="s">
        <v>178</v>
      </c>
      <c r="E604" s="16" t="str">
        <f aca="false">HYPERLINK("https://www.google.com/maps/search/"&amp;SUBSTITUTE(C604&amp;" "&amp;D604&amp;" "&amp;A604," ","+"),"Open Maps")</f>
        <v>Open Maps</v>
      </c>
      <c r="F604" s="15" t="s">
        <v>184</v>
      </c>
      <c r="G604" s="15"/>
    </row>
    <row r="605" customFormat="false" ht="15" hidden="false" customHeight="false" outlineLevel="0" collapsed="false">
      <c r="A605" s="7" t="s">
        <v>56</v>
      </c>
      <c r="B605" s="7" t="s">
        <v>67</v>
      </c>
      <c r="C605" s="7" t="s">
        <v>89</v>
      </c>
      <c r="D605" s="7" t="s">
        <v>179</v>
      </c>
      <c r="E605" s="16" t="str">
        <f aca="false">HYPERLINK("https://www.google.com/maps/search/"&amp;SUBSTITUTE(C605&amp;" "&amp;D605&amp;" "&amp;A605," ","+"),"Open Maps")</f>
        <v>Open Maps</v>
      </c>
      <c r="F605" s="15" t="s">
        <v>184</v>
      </c>
      <c r="G605" s="15"/>
    </row>
    <row r="606" customFormat="false" ht="15" hidden="false" customHeight="false" outlineLevel="0" collapsed="false">
      <c r="A606" s="7" t="s">
        <v>56</v>
      </c>
      <c r="B606" s="7" t="s">
        <v>67</v>
      </c>
      <c r="C606" s="7" t="s">
        <v>89</v>
      </c>
      <c r="D606" s="7" t="s">
        <v>180</v>
      </c>
      <c r="E606" s="16" t="str">
        <f aca="false">HYPERLINK("https://www.google.com/maps/search/"&amp;SUBSTITUTE(C606&amp;" "&amp;D606&amp;" "&amp;A606," ","+"),"Open Maps")</f>
        <v>Open Maps</v>
      </c>
      <c r="F606" s="15" t="s">
        <v>184</v>
      </c>
      <c r="G606" s="15"/>
    </row>
    <row r="607" customFormat="false" ht="15" hidden="false" customHeight="false" outlineLevel="0" collapsed="false">
      <c r="A607" s="7" t="s">
        <v>56</v>
      </c>
      <c r="B607" s="7" t="s">
        <v>67</v>
      </c>
      <c r="C607" s="7" t="s">
        <v>90</v>
      </c>
      <c r="D607" s="7" t="s">
        <v>175</v>
      </c>
      <c r="E607" s="16" t="str">
        <f aca="false">HYPERLINK("https://www.google.com/maps/search/"&amp;SUBSTITUTE(C607&amp;" "&amp;D607&amp;" "&amp;A607," ","+"),"Open Maps")</f>
        <v>Open Maps</v>
      </c>
      <c r="F607" s="15" t="s">
        <v>184</v>
      </c>
      <c r="G607" s="15"/>
    </row>
    <row r="608" customFormat="false" ht="15" hidden="false" customHeight="false" outlineLevel="0" collapsed="false">
      <c r="A608" s="7" t="s">
        <v>56</v>
      </c>
      <c r="B608" s="7" t="s">
        <v>67</v>
      </c>
      <c r="C608" s="7" t="s">
        <v>90</v>
      </c>
      <c r="D608" s="7" t="s">
        <v>176</v>
      </c>
      <c r="E608" s="16" t="str">
        <f aca="false">HYPERLINK("https://www.google.com/maps/search/"&amp;SUBSTITUTE(C608&amp;" "&amp;D608&amp;" "&amp;A608," ","+"),"Open Maps")</f>
        <v>Open Maps</v>
      </c>
      <c r="F608" s="15" t="s">
        <v>184</v>
      </c>
      <c r="G608" s="15"/>
    </row>
    <row r="609" customFormat="false" ht="15" hidden="false" customHeight="false" outlineLevel="0" collapsed="false">
      <c r="A609" s="7" t="s">
        <v>56</v>
      </c>
      <c r="B609" s="7" t="s">
        <v>67</v>
      </c>
      <c r="C609" s="7" t="s">
        <v>90</v>
      </c>
      <c r="D609" s="7" t="s">
        <v>177</v>
      </c>
      <c r="E609" s="16" t="str">
        <f aca="false">HYPERLINK("https://www.google.com/maps/search/"&amp;SUBSTITUTE(C609&amp;" "&amp;D609&amp;" "&amp;A609," ","+"),"Open Maps")</f>
        <v>Open Maps</v>
      </c>
      <c r="F609" s="15" t="s">
        <v>184</v>
      </c>
      <c r="G609" s="15"/>
    </row>
    <row r="610" customFormat="false" ht="15" hidden="false" customHeight="false" outlineLevel="0" collapsed="false">
      <c r="A610" s="7" t="s">
        <v>56</v>
      </c>
      <c r="B610" s="7" t="s">
        <v>67</v>
      </c>
      <c r="C610" s="7" t="s">
        <v>90</v>
      </c>
      <c r="D610" s="7" t="s">
        <v>178</v>
      </c>
      <c r="E610" s="16" t="str">
        <f aca="false">HYPERLINK("https://www.google.com/maps/search/"&amp;SUBSTITUTE(C610&amp;" "&amp;D610&amp;" "&amp;A610," ","+"),"Open Maps")</f>
        <v>Open Maps</v>
      </c>
      <c r="F610" s="15" t="s">
        <v>184</v>
      </c>
      <c r="G610" s="15"/>
    </row>
    <row r="611" customFormat="false" ht="15" hidden="false" customHeight="false" outlineLevel="0" collapsed="false">
      <c r="A611" s="7" t="s">
        <v>56</v>
      </c>
      <c r="B611" s="7" t="s">
        <v>67</v>
      </c>
      <c r="C611" s="7" t="s">
        <v>90</v>
      </c>
      <c r="D611" s="7" t="s">
        <v>179</v>
      </c>
      <c r="E611" s="16" t="str">
        <f aca="false">HYPERLINK("https://www.google.com/maps/search/"&amp;SUBSTITUTE(C611&amp;" "&amp;D611&amp;" "&amp;A611," ","+"),"Open Maps")</f>
        <v>Open Maps</v>
      </c>
      <c r="F611" s="15" t="s">
        <v>184</v>
      </c>
      <c r="G611" s="15"/>
    </row>
    <row r="612" customFormat="false" ht="15" hidden="false" customHeight="false" outlineLevel="0" collapsed="false">
      <c r="A612" s="7" t="s">
        <v>56</v>
      </c>
      <c r="B612" s="7" t="s">
        <v>67</v>
      </c>
      <c r="C612" s="7" t="s">
        <v>90</v>
      </c>
      <c r="D612" s="7" t="s">
        <v>180</v>
      </c>
      <c r="E612" s="16" t="str">
        <f aca="false">HYPERLINK("https://www.google.com/maps/search/"&amp;SUBSTITUTE(C612&amp;" "&amp;D612&amp;" "&amp;A612," ","+"),"Open Maps")</f>
        <v>Open Maps</v>
      </c>
      <c r="F612" s="15" t="s">
        <v>184</v>
      </c>
      <c r="G612" s="15"/>
    </row>
    <row r="613" customFormat="false" ht="15" hidden="false" customHeight="false" outlineLevel="0" collapsed="false">
      <c r="A613" s="7" t="s">
        <v>56</v>
      </c>
      <c r="B613" s="7" t="s">
        <v>67</v>
      </c>
      <c r="C613" s="7" t="s">
        <v>91</v>
      </c>
      <c r="D613" s="7" t="s">
        <v>175</v>
      </c>
      <c r="E613" s="16" t="str">
        <f aca="false">HYPERLINK("https://www.google.com/maps/search/"&amp;SUBSTITUTE(C613&amp;" "&amp;D613&amp;" "&amp;A613," ","+"),"Open Maps")</f>
        <v>Open Maps</v>
      </c>
      <c r="F613" s="15" t="s">
        <v>184</v>
      </c>
      <c r="G613" s="15"/>
    </row>
    <row r="614" customFormat="false" ht="15" hidden="false" customHeight="false" outlineLevel="0" collapsed="false">
      <c r="A614" s="7" t="s">
        <v>56</v>
      </c>
      <c r="B614" s="7" t="s">
        <v>67</v>
      </c>
      <c r="C614" s="7" t="s">
        <v>91</v>
      </c>
      <c r="D614" s="7" t="s">
        <v>176</v>
      </c>
      <c r="E614" s="16" t="str">
        <f aca="false">HYPERLINK("https://www.google.com/maps/search/"&amp;SUBSTITUTE(C614&amp;" "&amp;D614&amp;" "&amp;A614," ","+"),"Open Maps")</f>
        <v>Open Maps</v>
      </c>
      <c r="F614" s="15" t="s">
        <v>184</v>
      </c>
      <c r="G614" s="15"/>
    </row>
    <row r="615" customFormat="false" ht="15" hidden="false" customHeight="false" outlineLevel="0" collapsed="false">
      <c r="A615" s="7" t="s">
        <v>56</v>
      </c>
      <c r="B615" s="7" t="s">
        <v>67</v>
      </c>
      <c r="C615" s="7" t="s">
        <v>91</v>
      </c>
      <c r="D615" s="7" t="s">
        <v>177</v>
      </c>
      <c r="E615" s="16" t="str">
        <f aca="false">HYPERLINK("https://www.google.com/maps/search/"&amp;SUBSTITUTE(C615&amp;" "&amp;D615&amp;" "&amp;A615," ","+"),"Open Maps")</f>
        <v>Open Maps</v>
      </c>
      <c r="F615" s="15" t="s">
        <v>184</v>
      </c>
      <c r="G615" s="15"/>
    </row>
    <row r="616" customFormat="false" ht="15" hidden="false" customHeight="false" outlineLevel="0" collapsed="false">
      <c r="A616" s="7" t="s">
        <v>56</v>
      </c>
      <c r="B616" s="7" t="s">
        <v>67</v>
      </c>
      <c r="C616" s="7" t="s">
        <v>91</v>
      </c>
      <c r="D616" s="7" t="s">
        <v>178</v>
      </c>
      <c r="E616" s="16" t="str">
        <f aca="false">HYPERLINK("https://www.google.com/maps/search/"&amp;SUBSTITUTE(C616&amp;" "&amp;D616&amp;" "&amp;A616," ","+"),"Open Maps")</f>
        <v>Open Maps</v>
      </c>
      <c r="F616" s="15" t="s">
        <v>184</v>
      </c>
      <c r="G616" s="15"/>
    </row>
    <row r="617" customFormat="false" ht="15" hidden="false" customHeight="false" outlineLevel="0" collapsed="false">
      <c r="A617" s="7" t="s">
        <v>56</v>
      </c>
      <c r="B617" s="7" t="s">
        <v>67</v>
      </c>
      <c r="C617" s="7" t="s">
        <v>91</v>
      </c>
      <c r="D617" s="7" t="s">
        <v>179</v>
      </c>
      <c r="E617" s="16" t="str">
        <f aca="false">HYPERLINK("https://www.google.com/maps/search/"&amp;SUBSTITUTE(C617&amp;" "&amp;D617&amp;" "&amp;A617," ","+"),"Open Maps")</f>
        <v>Open Maps</v>
      </c>
      <c r="F617" s="15" t="s">
        <v>184</v>
      </c>
      <c r="G617" s="15"/>
    </row>
    <row r="618" customFormat="false" ht="15" hidden="false" customHeight="false" outlineLevel="0" collapsed="false">
      <c r="A618" s="7" t="s">
        <v>56</v>
      </c>
      <c r="B618" s="7" t="s">
        <v>67</v>
      </c>
      <c r="C618" s="7" t="s">
        <v>91</v>
      </c>
      <c r="D618" s="7" t="s">
        <v>180</v>
      </c>
      <c r="E618" s="16" t="str">
        <f aca="false">HYPERLINK("https://www.google.com/maps/search/"&amp;SUBSTITUTE(C618&amp;" "&amp;D618&amp;" "&amp;A618," ","+"),"Open Maps")</f>
        <v>Open Maps</v>
      </c>
      <c r="F618" s="15" t="s">
        <v>184</v>
      </c>
      <c r="G618" s="15"/>
    </row>
    <row r="619" customFormat="false" ht="15" hidden="false" customHeight="false" outlineLevel="0" collapsed="false">
      <c r="A619" s="7" t="s">
        <v>56</v>
      </c>
      <c r="B619" s="7" t="s">
        <v>67</v>
      </c>
      <c r="C619" s="7" t="s">
        <v>73</v>
      </c>
      <c r="D619" s="7" t="s">
        <v>175</v>
      </c>
      <c r="E619" s="16" t="str">
        <f aca="false">HYPERLINK("https://www.google.com/maps/search/"&amp;SUBSTITUTE(C619&amp;" "&amp;D619&amp;" "&amp;A619," ","+"),"Open Maps")</f>
        <v>Open Maps</v>
      </c>
      <c r="F619" s="15" t="s">
        <v>184</v>
      </c>
      <c r="G619" s="15"/>
    </row>
    <row r="620" customFormat="false" ht="15" hidden="false" customHeight="false" outlineLevel="0" collapsed="false">
      <c r="A620" s="7" t="s">
        <v>56</v>
      </c>
      <c r="B620" s="7" t="s">
        <v>67</v>
      </c>
      <c r="C620" s="7" t="s">
        <v>73</v>
      </c>
      <c r="D620" s="7" t="s">
        <v>176</v>
      </c>
      <c r="E620" s="16" t="str">
        <f aca="false">HYPERLINK("https://www.google.com/maps/search/"&amp;SUBSTITUTE(C620&amp;" "&amp;D620&amp;" "&amp;A620," ","+"),"Open Maps")</f>
        <v>Open Maps</v>
      </c>
      <c r="F620" s="15" t="s">
        <v>184</v>
      </c>
      <c r="G620" s="15"/>
    </row>
    <row r="621" customFormat="false" ht="15" hidden="false" customHeight="false" outlineLevel="0" collapsed="false">
      <c r="A621" s="7" t="s">
        <v>56</v>
      </c>
      <c r="B621" s="7" t="s">
        <v>67</v>
      </c>
      <c r="C621" s="7" t="s">
        <v>73</v>
      </c>
      <c r="D621" s="7" t="s">
        <v>177</v>
      </c>
      <c r="E621" s="16" t="str">
        <f aca="false">HYPERLINK("https://www.google.com/maps/search/"&amp;SUBSTITUTE(C621&amp;" "&amp;D621&amp;" "&amp;A621," ","+"),"Open Maps")</f>
        <v>Open Maps</v>
      </c>
      <c r="F621" s="15" t="s">
        <v>184</v>
      </c>
      <c r="G621" s="15"/>
    </row>
    <row r="622" customFormat="false" ht="15" hidden="false" customHeight="false" outlineLevel="0" collapsed="false">
      <c r="A622" s="7" t="s">
        <v>56</v>
      </c>
      <c r="B622" s="7" t="s">
        <v>67</v>
      </c>
      <c r="C622" s="7" t="s">
        <v>73</v>
      </c>
      <c r="D622" s="7" t="s">
        <v>178</v>
      </c>
      <c r="E622" s="16" t="str">
        <f aca="false">HYPERLINK("https://www.google.com/maps/search/"&amp;SUBSTITUTE(C622&amp;" "&amp;D622&amp;" "&amp;A622," ","+"),"Open Maps")</f>
        <v>Open Maps</v>
      </c>
      <c r="F622" s="15" t="s">
        <v>184</v>
      </c>
      <c r="G622" s="15"/>
    </row>
    <row r="623" customFormat="false" ht="15" hidden="false" customHeight="false" outlineLevel="0" collapsed="false">
      <c r="A623" s="7" t="s">
        <v>56</v>
      </c>
      <c r="B623" s="7" t="s">
        <v>67</v>
      </c>
      <c r="C623" s="7" t="s">
        <v>73</v>
      </c>
      <c r="D623" s="7" t="s">
        <v>179</v>
      </c>
      <c r="E623" s="16" t="str">
        <f aca="false">HYPERLINK("https://www.google.com/maps/search/"&amp;SUBSTITUTE(C623&amp;" "&amp;D623&amp;" "&amp;A623," ","+"),"Open Maps")</f>
        <v>Open Maps</v>
      </c>
      <c r="F623" s="15" t="s">
        <v>184</v>
      </c>
      <c r="G623" s="15"/>
    </row>
    <row r="624" customFormat="false" ht="15" hidden="false" customHeight="false" outlineLevel="0" collapsed="false">
      <c r="A624" s="7" t="s">
        <v>56</v>
      </c>
      <c r="B624" s="7" t="s">
        <v>67</v>
      </c>
      <c r="C624" s="7" t="s">
        <v>73</v>
      </c>
      <c r="D624" s="7" t="s">
        <v>180</v>
      </c>
      <c r="E624" s="16" t="str">
        <f aca="false">HYPERLINK("https://www.google.com/maps/search/"&amp;SUBSTITUTE(C624&amp;" "&amp;D624&amp;" "&amp;A624," ","+"),"Open Maps")</f>
        <v>Open Maps</v>
      </c>
      <c r="F624" s="15" t="s">
        <v>184</v>
      </c>
      <c r="G624" s="15"/>
    </row>
    <row r="625" customFormat="false" ht="15" hidden="false" customHeight="false" outlineLevel="0" collapsed="false">
      <c r="A625" s="7" t="s">
        <v>56</v>
      </c>
      <c r="B625" s="7" t="s">
        <v>67</v>
      </c>
      <c r="C625" s="7" t="s">
        <v>92</v>
      </c>
      <c r="D625" s="7" t="s">
        <v>175</v>
      </c>
      <c r="E625" s="16" t="str">
        <f aca="false">HYPERLINK("https://www.google.com/maps/search/"&amp;SUBSTITUTE(C625&amp;" "&amp;D625&amp;" "&amp;A625," ","+"),"Open Maps")</f>
        <v>Open Maps</v>
      </c>
      <c r="F625" s="15" t="s">
        <v>184</v>
      </c>
      <c r="G625" s="15"/>
    </row>
    <row r="626" customFormat="false" ht="15" hidden="false" customHeight="false" outlineLevel="0" collapsed="false">
      <c r="A626" s="7" t="s">
        <v>56</v>
      </c>
      <c r="B626" s="7" t="s">
        <v>67</v>
      </c>
      <c r="C626" s="7" t="s">
        <v>92</v>
      </c>
      <c r="D626" s="7" t="s">
        <v>176</v>
      </c>
      <c r="E626" s="16" t="str">
        <f aca="false">HYPERLINK("https://www.google.com/maps/search/"&amp;SUBSTITUTE(C626&amp;" "&amp;D626&amp;" "&amp;A626," ","+"),"Open Maps")</f>
        <v>Open Maps</v>
      </c>
      <c r="F626" s="15" t="s">
        <v>184</v>
      </c>
      <c r="G626" s="15"/>
    </row>
    <row r="627" customFormat="false" ht="15" hidden="false" customHeight="false" outlineLevel="0" collapsed="false">
      <c r="A627" s="7" t="s">
        <v>56</v>
      </c>
      <c r="B627" s="7" t="s">
        <v>67</v>
      </c>
      <c r="C627" s="7" t="s">
        <v>92</v>
      </c>
      <c r="D627" s="7" t="s">
        <v>177</v>
      </c>
      <c r="E627" s="16" t="str">
        <f aca="false">HYPERLINK("https://www.google.com/maps/search/"&amp;SUBSTITUTE(C627&amp;" "&amp;D627&amp;" "&amp;A627," ","+"),"Open Maps")</f>
        <v>Open Maps</v>
      </c>
      <c r="F627" s="15" t="s">
        <v>184</v>
      </c>
      <c r="G627" s="15"/>
    </row>
    <row r="628" customFormat="false" ht="15" hidden="false" customHeight="false" outlineLevel="0" collapsed="false">
      <c r="A628" s="7" t="s">
        <v>56</v>
      </c>
      <c r="B628" s="7" t="s">
        <v>67</v>
      </c>
      <c r="C628" s="7" t="s">
        <v>92</v>
      </c>
      <c r="D628" s="7" t="s">
        <v>178</v>
      </c>
      <c r="E628" s="16" t="str">
        <f aca="false">HYPERLINK("https://www.google.com/maps/search/"&amp;SUBSTITUTE(C628&amp;" "&amp;D628&amp;" "&amp;A628," ","+"),"Open Maps")</f>
        <v>Open Maps</v>
      </c>
      <c r="F628" s="15" t="s">
        <v>184</v>
      </c>
      <c r="G628" s="15"/>
    </row>
    <row r="629" customFormat="false" ht="15" hidden="false" customHeight="false" outlineLevel="0" collapsed="false">
      <c r="A629" s="7" t="s">
        <v>56</v>
      </c>
      <c r="B629" s="7" t="s">
        <v>67</v>
      </c>
      <c r="C629" s="7" t="s">
        <v>92</v>
      </c>
      <c r="D629" s="7" t="s">
        <v>179</v>
      </c>
      <c r="E629" s="16" t="str">
        <f aca="false">HYPERLINK("https://www.google.com/maps/search/"&amp;SUBSTITUTE(C629&amp;" "&amp;D629&amp;" "&amp;A629," ","+"),"Open Maps")</f>
        <v>Open Maps</v>
      </c>
      <c r="F629" s="15" t="s">
        <v>184</v>
      </c>
      <c r="G629" s="15"/>
    </row>
    <row r="630" customFormat="false" ht="15" hidden="false" customHeight="false" outlineLevel="0" collapsed="false">
      <c r="A630" s="7" t="s">
        <v>56</v>
      </c>
      <c r="B630" s="7" t="s">
        <v>67</v>
      </c>
      <c r="C630" s="7" t="s">
        <v>92</v>
      </c>
      <c r="D630" s="7" t="s">
        <v>180</v>
      </c>
      <c r="E630" s="16" t="str">
        <f aca="false">HYPERLINK("https://www.google.com/maps/search/"&amp;SUBSTITUTE(C630&amp;" "&amp;D630&amp;" "&amp;A630," ","+"),"Open Maps")</f>
        <v>Open Maps</v>
      </c>
      <c r="F630" s="15" t="s">
        <v>184</v>
      </c>
      <c r="G630" s="15"/>
    </row>
    <row r="631" customFormat="false" ht="15" hidden="false" customHeight="false" outlineLevel="0" collapsed="false">
      <c r="A631" s="7" t="s">
        <v>56</v>
      </c>
      <c r="B631" s="7" t="s">
        <v>67</v>
      </c>
      <c r="C631" s="7" t="s">
        <v>93</v>
      </c>
      <c r="D631" s="7" t="s">
        <v>175</v>
      </c>
      <c r="E631" s="16" t="str">
        <f aca="false">HYPERLINK("https://www.google.com/maps/search/"&amp;SUBSTITUTE(C631&amp;" "&amp;D631&amp;" "&amp;A631," ","+"),"Open Maps")</f>
        <v>Open Maps</v>
      </c>
      <c r="F631" s="15" t="s">
        <v>184</v>
      </c>
      <c r="G631" s="15"/>
    </row>
    <row r="632" customFormat="false" ht="15" hidden="false" customHeight="false" outlineLevel="0" collapsed="false">
      <c r="A632" s="7" t="s">
        <v>56</v>
      </c>
      <c r="B632" s="7" t="s">
        <v>67</v>
      </c>
      <c r="C632" s="7" t="s">
        <v>93</v>
      </c>
      <c r="D632" s="7" t="s">
        <v>176</v>
      </c>
      <c r="E632" s="16" t="str">
        <f aca="false">HYPERLINK("https://www.google.com/maps/search/"&amp;SUBSTITUTE(C632&amp;" "&amp;D632&amp;" "&amp;A632," ","+"),"Open Maps")</f>
        <v>Open Maps</v>
      </c>
      <c r="F632" s="15" t="s">
        <v>184</v>
      </c>
      <c r="G632" s="15"/>
    </row>
    <row r="633" customFormat="false" ht="15" hidden="false" customHeight="false" outlineLevel="0" collapsed="false">
      <c r="A633" s="7" t="s">
        <v>56</v>
      </c>
      <c r="B633" s="7" t="s">
        <v>67</v>
      </c>
      <c r="C633" s="7" t="s">
        <v>93</v>
      </c>
      <c r="D633" s="7" t="s">
        <v>177</v>
      </c>
      <c r="E633" s="16" t="str">
        <f aca="false">HYPERLINK("https://www.google.com/maps/search/"&amp;SUBSTITUTE(C633&amp;" "&amp;D633&amp;" "&amp;A633," ","+"),"Open Maps")</f>
        <v>Open Maps</v>
      </c>
      <c r="F633" s="15" t="s">
        <v>184</v>
      </c>
      <c r="G633" s="15"/>
    </row>
    <row r="634" customFormat="false" ht="15" hidden="false" customHeight="false" outlineLevel="0" collapsed="false">
      <c r="A634" s="7" t="s">
        <v>56</v>
      </c>
      <c r="B634" s="7" t="s">
        <v>67</v>
      </c>
      <c r="C634" s="7" t="s">
        <v>93</v>
      </c>
      <c r="D634" s="7" t="s">
        <v>178</v>
      </c>
      <c r="E634" s="16" t="str">
        <f aca="false">HYPERLINK("https://www.google.com/maps/search/"&amp;SUBSTITUTE(C634&amp;" "&amp;D634&amp;" "&amp;A634," ","+"),"Open Maps")</f>
        <v>Open Maps</v>
      </c>
      <c r="F634" s="15" t="s">
        <v>184</v>
      </c>
      <c r="G634" s="15"/>
    </row>
    <row r="635" customFormat="false" ht="15" hidden="false" customHeight="false" outlineLevel="0" collapsed="false">
      <c r="A635" s="7" t="s">
        <v>56</v>
      </c>
      <c r="B635" s="7" t="s">
        <v>67</v>
      </c>
      <c r="C635" s="7" t="s">
        <v>93</v>
      </c>
      <c r="D635" s="7" t="s">
        <v>179</v>
      </c>
      <c r="E635" s="16" t="str">
        <f aca="false">HYPERLINK("https://www.google.com/maps/search/"&amp;SUBSTITUTE(C635&amp;" "&amp;D635&amp;" "&amp;A635," ","+"),"Open Maps")</f>
        <v>Open Maps</v>
      </c>
      <c r="F635" s="15" t="s">
        <v>184</v>
      </c>
      <c r="G635" s="15"/>
    </row>
    <row r="636" customFormat="false" ht="15" hidden="false" customHeight="false" outlineLevel="0" collapsed="false">
      <c r="A636" s="7" t="s">
        <v>56</v>
      </c>
      <c r="B636" s="7" t="s">
        <v>67</v>
      </c>
      <c r="C636" s="7" t="s">
        <v>93</v>
      </c>
      <c r="D636" s="7" t="s">
        <v>180</v>
      </c>
      <c r="E636" s="16" t="str">
        <f aca="false">HYPERLINK("https://www.google.com/maps/search/"&amp;SUBSTITUTE(C636&amp;" "&amp;D636&amp;" "&amp;A636," ","+"),"Open Maps")</f>
        <v>Open Maps</v>
      </c>
      <c r="F636" s="15" t="s">
        <v>184</v>
      </c>
      <c r="G636" s="15"/>
    </row>
    <row r="637" customFormat="false" ht="15" hidden="false" customHeight="false" outlineLevel="0" collapsed="false">
      <c r="A637" s="7" t="s">
        <v>56</v>
      </c>
      <c r="B637" s="7" t="s">
        <v>67</v>
      </c>
      <c r="C637" s="7" t="s">
        <v>94</v>
      </c>
      <c r="D637" s="7" t="s">
        <v>175</v>
      </c>
      <c r="E637" s="16" t="str">
        <f aca="false">HYPERLINK("https://www.google.com/maps/search/"&amp;SUBSTITUTE(C637&amp;" "&amp;D637&amp;" "&amp;A637," ","+"),"Open Maps")</f>
        <v>Open Maps</v>
      </c>
      <c r="F637" s="15" t="s">
        <v>184</v>
      </c>
      <c r="G637" s="15"/>
    </row>
    <row r="638" customFormat="false" ht="15" hidden="false" customHeight="false" outlineLevel="0" collapsed="false">
      <c r="A638" s="7" t="s">
        <v>56</v>
      </c>
      <c r="B638" s="7" t="s">
        <v>67</v>
      </c>
      <c r="C638" s="7" t="s">
        <v>94</v>
      </c>
      <c r="D638" s="7" t="s">
        <v>176</v>
      </c>
      <c r="E638" s="16" t="str">
        <f aca="false">HYPERLINK("https://www.google.com/maps/search/"&amp;SUBSTITUTE(C638&amp;" "&amp;D638&amp;" "&amp;A638," ","+"),"Open Maps")</f>
        <v>Open Maps</v>
      </c>
      <c r="F638" s="15" t="s">
        <v>184</v>
      </c>
      <c r="G638" s="15"/>
    </row>
    <row r="639" customFormat="false" ht="15" hidden="false" customHeight="false" outlineLevel="0" collapsed="false">
      <c r="A639" s="7" t="s">
        <v>56</v>
      </c>
      <c r="B639" s="7" t="s">
        <v>67</v>
      </c>
      <c r="C639" s="7" t="s">
        <v>94</v>
      </c>
      <c r="D639" s="7" t="s">
        <v>177</v>
      </c>
      <c r="E639" s="16" t="str">
        <f aca="false">HYPERLINK("https://www.google.com/maps/search/"&amp;SUBSTITUTE(C639&amp;" "&amp;D639&amp;" "&amp;A639," ","+"),"Open Maps")</f>
        <v>Open Maps</v>
      </c>
      <c r="F639" s="15" t="s">
        <v>184</v>
      </c>
      <c r="G639" s="15"/>
    </row>
    <row r="640" customFormat="false" ht="15" hidden="false" customHeight="false" outlineLevel="0" collapsed="false">
      <c r="A640" s="7" t="s">
        <v>56</v>
      </c>
      <c r="B640" s="7" t="s">
        <v>67</v>
      </c>
      <c r="C640" s="7" t="s">
        <v>94</v>
      </c>
      <c r="D640" s="7" t="s">
        <v>178</v>
      </c>
      <c r="E640" s="16" t="str">
        <f aca="false">HYPERLINK("https://www.google.com/maps/search/"&amp;SUBSTITUTE(C640&amp;" "&amp;D640&amp;" "&amp;A640," ","+"),"Open Maps")</f>
        <v>Open Maps</v>
      </c>
      <c r="F640" s="15" t="s">
        <v>184</v>
      </c>
      <c r="G640" s="15"/>
    </row>
    <row r="641" customFormat="false" ht="15" hidden="false" customHeight="false" outlineLevel="0" collapsed="false">
      <c r="A641" s="7" t="s">
        <v>56</v>
      </c>
      <c r="B641" s="7" t="s">
        <v>67</v>
      </c>
      <c r="C641" s="7" t="s">
        <v>94</v>
      </c>
      <c r="D641" s="7" t="s">
        <v>179</v>
      </c>
      <c r="E641" s="16" t="str">
        <f aca="false">HYPERLINK("https://www.google.com/maps/search/"&amp;SUBSTITUTE(C641&amp;" "&amp;D641&amp;" "&amp;A641," ","+"),"Open Maps")</f>
        <v>Open Maps</v>
      </c>
      <c r="F641" s="15" t="s">
        <v>184</v>
      </c>
      <c r="G641" s="15"/>
    </row>
    <row r="642" customFormat="false" ht="15" hidden="false" customHeight="false" outlineLevel="0" collapsed="false">
      <c r="A642" s="7" t="s">
        <v>56</v>
      </c>
      <c r="B642" s="7" t="s">
        <v>67</v>
      </c>
      <c r="C642" s="7" t="s">
        <v>94</v>
      </c>
      <c r="D642" s="7" t="s">
        <v>180</v>
      </c>
      <c r="E642" s="16" t="str">
        <f aca="false">HYPERLINK("https://www.google.com/maps/search/"&amp;SUBSTITUTE(C642&amp;" "&amp;D642&amp;" "&amp;A642," ","+"),"Open Maps")</f>
        <v>Open Maps</v>
      </c>
      <c r="F642" s="15" t="s">
        <v>184</v>
      </c>
      <c r="G642" s="15"/>
    </row>
    <row r="643" customFormat="false" ht="15" hidden="false" customHeight="false" outlineLevel="0" collapsed="false">
      <c r="A643" s="7" t="s">
        <v>56</v>
      </c>
      <c r="B643" s="7" t="s">
        <v>76</v>
      </c>
      <c r="C643" s="7" t="s">
        <v>77</v>
      </c>
      <c r="D643" s="7" t="s">
        <v>175</v>
      </c>
      <c r="E643" s="16" t="str">
        <f aca="false">HYPERLINK("https://www.google.com/maps/search/"&amp;SUBSTITUTE(C643&amp;" "&amp;D643&amp;" "&amp;A643," ","+"),"Open Maps")</f>
        <v>Open Maps</v>
      </c>
      <c r="F643" s="15" t="s">
        <v>184</v>
      </c>
      <c r="G643" s="15"/>
    </row>
    <row r="644" customFormat="false" ht="15" hidden="false" customHeight="false" outlineLevel="0" collapsed="false">
      <c r="A644" s="7" t="s">
        <v>56</v>
      </c>
      <c r="B644" s="7" t="s">
        <v>76</v>
      </c>
      <c r="C644" s="7" t="s">
        <v>77</v>
      </c>
      <c r="D644" s="7" t="s">
        <v>176</v>
      </c>
      <c r="E644" s="16" t="str">
        <f aca="false">HYPERLINK("https://www.google.com/maps/search/"&amp;SUBSTITUTE(C644&amp;" "&amp;D644&amp;" "&amp;A644," ","+"),"Open Maps")</f>
        <v>Open Maps</v>
      </c>
      <c r="F644" s="15" t="s">
        <v>184</v>
      </c>
      <c r="G644" s="15"/>
    </row>
    <row r="645" customFormat="false" ht="15" hidden="false" customHeight="false" outlineLevel="0" collapsed="false">
      <c r="A645" s="7" t="s">
        <v>56</v>
      </c>
      <c r="B645" s="7" t="s">
        <v>76</v>
      </c>
      <c r="C645" s="7" t="s">
        <v>77</v>
      </c>
      <c r="D645" s="7" t="s">
        <v>177</v>
      </c>
      <c r="E645" s="16" t="str">
        <f aca="false">HYPERLINK("https://www.google.com/maps/search/"&amp;SUBSTITUTE(C645&amp;" "&amp;D645&amp;" "&amp;A645," ","+"),"Open Maps")</f>
        <v>Open Maps</v>
      </c>
      <c r="F645" s="15" t="s">
        <v>184</v>
      </c>
      <c r="G645" s="15"/>
    </row>
    <row r="646" customFormat="false" ht="15" hidden="false" customHeight="false" outlineLevel="0" collapsed="false">
      <c r="A646" s="7" t="s">
        <v>56</v>
      </c>
      <c r="B646" s="7" t="s">
        <v>76</v>
      </c>
      <c r="C646" s="7" t="s">
        <v>77</v>
      </c>
      <c r="D646" s="7" t="s">
        <v>178</v>
      </c>
      <c r="E646" s="16" t="str">
        <f aca="false">HYPERLINK("https://www.google.com/maps/search/"&amp;SUBSTITUTE(C646&amp;" "&amp;D646&amp;" "&amp;A646," ","+"),"Open Maps")</f>
        <v>Open Maps</v>
      </c>
      <c r="F646" s="15" t="s">
        <v>184</v>
      </c>
      <c r="G646" s="15"/>
    </row>
    <row r="647" customFormat="false" ht="15" hidden="false" customHeight="false" outlineLevel="0" collapsed="false">
      <c r="A647" s="7" t="s">
        <v>56</v>
      </c>
      <c r="B647" s="7" t="s">
        <v>76</v>
      </c>
      <c r="C647" s="7" t="s">
        <v>77</v>
      </c>
      <c r="D647" s="7" t="s">
        <v>179</v>
      </c>
      <c r="E647" s="16" t="str">
        <f aca="false">HYPERLINK("https://www.google.com/maps/search/"&amp;SUBSTITUTE(C647&amp;" "&amp;D647&amp;" "&amp;A647," ","+"),"Open Maps")</f>
        <v>Open Maps</v>
      </c>
      <c r="F647" s="15" t="s">
        <v>184</v>
      </c>
      <c r="G647" s="15"/>
    </row>
    <row r="648" customFormat="false" ht="15" hidden="false" customHeight="false" outlineLevel="0" collapsed="false">
      <c r="A648" s="7" t="s">
        <v>56</v>
      </c>
      <c r="B648" s="7" t="s">
        <v>76</v>
      </c>
      <c r="C648" s="7" t="s">
        <v>77</v>
      </c>
      <c r="D648" s="7" t="s">
        <v>180</v>
      </c>
      <c r="E648" s="16" t="str">
        <f aca="false">HYPERLINK("https://www.google.com/maps/search/"&amp;SUBSTITUTE(C648&amp;" "&amp;D648&amp;" "&amp;A648," ","+"),"Open Maps")</f>
        <v>Open Maps</v>
      </c>
      <c r="F648" s="15" t="s">
        <v>184</v>
      </c>
      <c r="G648" s="15"/>
    </row>
  </sheetData>
  <autoFilter ref="A1:G648"/>
  <conditionalFormatting sqref="A2:G648">
    <cfRule type="expression" priority="2" aboveAverage="0" equalAverage="0" bottom="0" percent="0" rank="0" text="" dxfId="6">
      <formula>$F2="Yes"</formula>
    </cfRule>
  </conditionalFormatting>
  <dataValidations count="2">
    <dataValidation allowBlank="true" errorStyle="stop" operator="between" showDropDown="false" showErrorMessage="false" showInputMessage="false" sqref="F2:F648" type="list">
      <formula1>"Yes,No"</formula1>
      <formula2>0</formula2>
    </dataValidation>
    <dataValidation allowBlank="true" errorStyle="stop" operator="greaterThanOrEqual" showDropDown="false" showErrorMessage="false" showInputMessage="false" sqref="G2:G648" type="whol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5" min="4" style="0" width="16"/>
    <col collapsed="false" customWidth="true" hidden="false" outlineLevel="0" max="6" min="6" style="0" width="13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9" min="9" style="0" width="18"/>
    <col collapsed="false" customWidth="true" hidden="false" outlineLevel="0" max="10" min="10" style="0" width="13"/>
    <col collapsed="false" customWidth="true" hidden="false" outlineLevel="0" max="11" min="11" style="0" width="40"/>
  </cols>
  <sheetData>
    <row r="1" customFormat="false" ht="21.75" hidden="false" customHeight="true" outlineLevel="0" collapsed="false">
      <c r="A1" s="6" t="s">
        <v>185</v>
      </c>
      <c r="B1" s="6" t="s">
        <v>12</v>
      </c>
      <c r="C1" s="6" t="s">
        <v>61</v>
      </c>
      <c r="D1" s="6" t="s">
        <v>114</v>
      </c>
      <c r="E1" s="6" t="s">
        <v>186</v>
      </c>
      <c r="F1" s="6" t="s">
        <v>187</v>
      </c>
      <c r="G1" s="6" t="s">
        <v>188</v>
      </c>
      <c r="H1" s="6" t="s">
        <v>189</v>
      </c>
      <c r="I1" s="6" t="s">
        <v>190</v>
      </c>
      <c r="J1" s="6" t="s">
        <v>191</v>
      </c>
      <c r="K1" s="6" t="s">
        <v>115</v>
      </c>
    </row>
    <row r="2" customFormat="false" ht="15" hidden="false" customHeight="false" outlineLevel="0" collapsed="false">
      <c r="A2" s="17" t="s">
        <v>192</v>
      </c>
      <c r="B2" s="17" t="s">
        <v>52</v>
      </c>
      <c r="C2" s="17" t="s">
        <v>103</v>
      </c>
      <c r="D2" s="17" t="s">
        <v>166</v>
      </c>
      <c r="E2" s="17" t="s">
        <v>193</v>
      </c>
      <c r="F2" s="17" t="s">
        <v>184</v>
      </c>
      <c r="G2" s="18" t="n">
        <v>4.6</v>
      </c>
      <c r="H2" s="17" t="n">
        <v>38</v>
      </c>
      <c r="I2" s="17" t="s">
        <v>194</v>
      </c>
      <c r="J2" s="19"/>
      <c r="K2" s="17" t="s">
        <v>195</v>
      </c>
    </row>
    <row r="3" customFormat="false" ht="15" hidden="false" customHeight="false" outlineLevel="0" collapsed="false">
      <c r="A3" s="20"/>
      <c r="B3" s="20"/>
      <c r="C3" s="20"/>
      <c r="D3" s="20"/>
      <c r="E3" s="20"/>
      <c r="F3" s="20"/>
      <c r="G3" s="21"/>
      <c r="H3" s="20"/>
      <c r="I3" s="20"/>
      <c r="J3" s="22"/>
      <c r="K3" s="20"/>
    </row>
    <row r="4" customFormat="false" ht="15" hidden="false" customHeight="false" outlineLevel="0" collapsed="false">
      <c r="A4" s="20"/>
      <c r="B4" s="20"/>
      <c r="C4" s="20"/>
      <c r="D4" s="20"/>
      <c r="E4" s="20"/>
      <c r="F4" s="20"/>
      <c r="G4" s="21"/>
      <c r="H4" s="20"/>
      <c r="I4" s="20"/>
      <c r="J4" s="22"/>
      <c r="K4" s="20"/>
    </row>
    <row r="5" customFormat="false" ht="15" hidden="false" customHeight="false" outlineLevel="0" collapsed="false">
      <c r="A5" s="20"/>
      <c r="B5" s="20"/>
      <c r="C5" s="20"/>
      <c r="D5" s="20"/>
      <c r="E5" s="20"/>
      <c r="F5" s="20"/>
      <c r="G5" s="21"/>
      <c r="H5" s="20"/>
      <c r="I5" s="20"/>
      <c r="J5" s="22"/>
      <c r="K5" s="20"/>
    </row>
    <row r="6" customFormat="false" ht="15" hidden="false" customHeight="false" outlineLevel="0" collapsed="false">
      <c r="A6" s="20"/>
      <c r="B6" s="20"/>
      <c r="C6" s="20"/>
      <c r="D6" s="20"/>
      <c r="E6" s="20"/>
      <c r="F6" s="20"/>
      <c r="G6" s="21"/>
      <c r="H6" s="20"/>
      <c r="I6" s="20"/>
      <c r="J6" s="22"/>
      <c r="K6" s="20"/>
    </row>
    <row r="7" customFormat="false" ht="15" hidden="false" customHeight="false" outlineLevel="0" collapsed="false">
      <c r="A7" s="20"/>
      <c r="B7" s="20"/>
      <c r="C7" s="20"/>
      <c r="D7" s="20"/>
      <c r="E7" s="20"/>
      <c r="F7" s="20"/>
      <c r="G7" s="21"/>
      <c r="H7" s="20"/>
      <c r="I7" s="20"/>
      <c r="J7" s="22"/>
      <c r="K7" s="20"/>
    </row>
    <row r="8" customFormat="false" ht="15" hidden="false" customHeight="false" outlineLevel="0" collapsed="false">
      <c r="A8" s="20"/>
      <c r="B8" s="20"/>
      <c r="C8" s="20"/>
      <c r="D8" s="20"/>
      <c r="E8" s="20"/>
      <c r="F8" s="20"/>
      <c r="G8" s="21"/>
      <c r="H8" s="20"/>
      <c r="I8" s="20"/>
      <c r="J8" s="22"/>
      <c r="K8" s="20"/>
    </row>
    <row r="9" customFormat="false" ht="15" hidden="false" customHeight="false" outlineLevel="0" collapsed="false">
      <c r="A9" s="20"/>
      <c r="B9" s="20"/>
      <c r="C9" s="20"/>
      <c r="D9" s="20"/>
      <c r="E9" s="20"/>
      <c r="F9" s="20"/>
      <c r="G9" s="21"/>
      <c r="H9" s="20"/>
      <c r="I9" s="20"/>
      <c r="J9" s="22"/>
      <c r="K9" s="20"/>
    </row>
    <row r="10" customFormat="false" ht="15" hidden="false" customHeight="false" outlineLevel="0" collapsed="false">
      <c r="A10" s="20"/>
      <c r="B10" s="20"/>
      <c r="C10" s="20"/>
      <c r="D10" s="20"/>
      <c r="E10" s="20"/>
      <c r="F10" s="20"/>
      <c r="G10" s="21"/>
      <c r="H10" s="20"/>
      <c r="I10" s="20"/>
      <c r="J10" s="22"/>
      <c r="K10" s="20"/>
    </row>
    <row r="11" customFormat="false" ht="15" hidden="false" customHeight="false" outlineLevel="0" collapsed="false">
      <c r="A11" s="20"/>
      <c r="B11" s="20"/>
      <c r="C11" s="20"/>
      <c r="D11" s="20"/>
      <c r="E11" s="20"/>
      <c r="F11" s="20"/>
      <c r="G11" s="21"/>
      <c r="H11" s="20"/>
      <c r="I11" s="20"/>
      <c r="J11" s="22"/>
      <c r="K11" s="20"/>
    </row>
    <row r="12" customFormat="false" ht="15" hidden="false" customHeight="false" outlineLevel="0" collapsed="false">
      <c r="A12" s="20"/>
      <c r="B12" s="20"/>
      <c r="C12" s="20"/>
      <c r="D12" s="20"/>
      <c r="E12" s="20"/>
      <c r="F12" s="20"/>
      <c r="G12" s="21"/>
      <c r="H12" s="20"/>
      <c r="I12" s="20"/>
      <c r="J12" s="22"/>
      <c r="K12" s="20"/>
    </row>
    <row r="13" customFormat="false" ht="15" hidden="false" customHeight="false" outlineLevel="0" collapsed="false">
      <c r="A13" s="20"/>
      <c r="B13" s="20"/>
      <c r="C13" s="20"/>
      <c r="D13" s="20"/>
      <c r="E13" s="20"/>
      <c r="F13" s="20"/>
      <c r="G13" s="21"/>
      <c r="H13" s="20"/>
      <c r="I13" s="20"/>
      <c r="J13" s="22"/>
      <c r="K13" s="20"/>
    </row>
    <row r="14" customFormat="false" ht="15" hidden="false" customHeight="false" outlineLevel="0" collapsed="false">
      <c r="A14" s="20"/>
      <c r="B14" s="20"/>
      <c r="C14" s="20"/>
      <c r="D14" s="20"/>
      <c r="E14" s="20"/>
      <c r="F14" s="20"/>
      <c r="G14" s="21"/>
      <c r="H14" s="20"/>
      <c r="I14" s="20"/>
      <c r="J14" s="22"/>
      <c r="K14" s="20"/>
    </row>
    <row r="15" customFormat="false" ht="15" hidden="false" customHeight="false" outlineLevel="0" collapsed="false">
      <c r="A15" s="20"/>
      <c r="B15" s="20"/>
      <c r="C15" s="20"/>
      <c r="D15" s="20"/>
      <c r="E15" s="20"/>
      <c r="F15" s="20"/>
      <c r="G15" s="21"/>
      <c r="H15" s="20"/>
      <c r="I15" s="20"/>
      <c r="J15" s="22"/>
      <c r="K15" s="20"/>
    </row>
    <row r="16" customFormat="false" ht="15" hidden="false" customHeight="false" outlineLevel="0" collapsed="false">
      <c r="A16" s="20"/>
      <c r="B16" s="20"/>
      <c r="C16" s="20"/>
      <c r="D16" s="20"/>
      <c r="E16" s="20"/>
      <c r="F16" s="20"/>
      <c r="G16" s="21"/>
      <c r="H16" s="20"/>
      <c r="I16" s="20"/>
      <c r="J16" s="22"/>
      <c r="K16" s="20"/>
    </row>
    <row r="17" customFormat="false" ht="15" hidden="false" customHeight="false" outlineLevel="0" collapsed="false">
      <c r="A17" s="20"/>
      <c r="B17" s="20"/>
      <c r="C17" s="20"/>
      <c r="D17" s="20"/>
      <c r="E17" s="20"/>
      <c r="F17" s="20"/>
      <c r="G17" s="21"/>
      <c r="H17" s="20"/>
      <c r="I17" s="20"/>
      <c r="J17" s="22"/>
      <c r="K17" s="20"/>
    </row>
    <row r="18" customFormat="false" ht="15" hidden="false" customHeight="false" outlineLevel="0" collapsed="false">
      <c r="A18" s="20"/>
      <c r="B18" s="20"/>
      <c r="C18" s="20"/>
      <c r="D18" s="20"/>
      <c r="E18" s="20"/>
      <c r="F18" s="20"/>
      <c r="G18" s="21"/>
      <c r="H18" s="20"/>
      <c r="I18" s="20"/>
      <c r="J18" s="22"/>
      <c r="K18" s="20"/>
    </row>
    <row r="19" customFormat="false" ht="15" hidden="false" customHeight="false" outlineLevel="0" collapsed="false">
      <c r="A19" s="20"/>
      <c r="B19" s="20"/>
      <c r="C19" s="20"/>
      <c r="D19" s="20"/>
      <c r="E19" s="20"/>
      <c r="F19" s="20"/>
      <c r="G19" s="21"/>
      <c r="H19" s="20"/>
      <c r="I19" s="20"/>
      <c r="J19" s="22"/>
      <c r="K19" s="20"/>
    </row>
    <row r="20" customFormat="false" ht="15" hidden="false" customHeight="false" outlineLevel="0" collapsed="false">
      <c r="A20" s="20"/>
      <c r="B20" s="20"/>
      <c r="C20" s="20"/>
      <c r="D20" s="20"/>
      <c r="E20" s="20"/>
      <c r="F20" s="20"/>
      <c r="G20" s="21"/>
      <c r="H20" s="20"/>
      <c r="I20" s="20"/>
      <c r="J20" s="22"/>
      <c r="K20" s="20"/>
    </row>
    <row r="21" customFormat="false" ht="15" hidden="false" customHeight="false" outlineLevel="0" collapsed="false">
      <c r="A21" s="20"/>
      <c r="B21" s="20"/>
      <c r="C21" s="20"/>
      <c r="D21" s="20"/>
      <c r="E21" s="20"/>
      <c r="F21" s="20"/>
      <c r="G21" s="21"/>
      <c r="H21" s="20"/>
      <c r="I21" s="20"/>
      <c r="J21" s="22"/>
      <c r="K21" s="20"/>
    </row>
    <row r="22" customFormat="false" ht="15" hidden="false" customHeight="false" outlineLevel="0" collapsed="false">
      <c r="A22" s="20"/>
      <c r="B22" s="20"/>
      <c r="C22" s="20"/>
      <c r="D22" s="20"/>
      <c r="E22" s="20"/>
      <c r="F22" s="20"/>
      <c r="G22" s="21"/>
      <c r="H22" s="20"/>
      <c r="I22" s="20"/>
      <c r="J22" s="22"/>
      <c r="K22" s="20"/>
    </row>
    <row r="23" customFormat="false" ht="15" hidden="false" customHeight="false" outlineLevel="0" collapsed="false">
      <c r="A23" s="20"/>
      <c r="B23" s="20"/>
      <c r="C23" s="20"/>
      <c r="D23" s="20"/>
      <c r="E23" s="20"/>
      <c r="F23" s="20"/>
      <c r="G23" s="21"/>
      <c r="H23" s="20"/>
      <c r="I23" s="20"/>
      <c r="J23" s="22"/>
      <c r="K23" s="20"/>
    </row>
    <row r="24" customFormat="false" ht="15" hidden="false" customHeight="false" outlineLevel="0" collapsed="false">
      <c r="A24" s="20"/>
      <c r="B24" s="20"/>
      <c r="C24" s="20"/>
      <c r="D24" s="20"/>
      <c r="E24" s="20"/>
      <c r="F24" s="20"/>
      <c r="G24" s="21"/>
      <c r="H24" s="20"/>
      <c r="I24" s="20"/>
      <c r="J24" s="22"/>
      <c r="K24" s="20"/>
    </row>
    <row r="25" customFormat="false" ht="15" hidden="false" customHeight="false" outlineLevel="0" collapsed="false">
      <c r="A25" s="20"/>
      <c r="B25" s="20"/>
      <c r="C25" s="20"/>
      <c r="D25" s="20"/>
      <c r="E25" s="20"/>
      <c r="F25" s="20"/>
      <c r="G25" s="21"/>
      <c r="H25" s="20"/>
      <c r="I25" s="20"/>
      <c r="J25" s="22"/>
      <c r="K25" s="20"/>
    </row>
    <row r="26" customFormat="false" ht="15" hidden="false" customHeight="false" outlineLevel="0" collapsed="false">
      <c r="A26" s="20"/>
      <c r="B26" s="20"/>
      <c r="C26" s="20"/>
      <c r="D26" s="20"/>
      <c r="E26" s="20"/>
      <c r="F26" s="20"/>
      <c r="G26" s="21"/>
      <c r="H26" s="20"/>
      <c r="I26" s="20"/>
      <c r="J26" s="22"/>
      <c r="K26" s="20"/>
    </row>
    <row r="27" customFormat="false" ht="15" hidden="false" customHeight="false" outlineLevel="0" collapsed="false">
      <c r="A27" s="20"/>
      <c r="B27" s="20"/>
      <c r="C27" s="20"/>
      <c r="D27" s="20"/>
      <c r="E27" s="20"/>
      <c r="F27" s="20"/>
      <c r="G27" s="21"/>
      <c r="H27" s="20"/>
      <c r="I27" s="20"/>
      <c r="J27" s="22"/>
      <c r="K27" s="20"/>
    </row>
    <row r="28" customFormat="false" ht="15" hidden="false" customHeight="false" outlineLevel="0" collapsed="false">
      <c r="A28" s="20"/>
      <c r="B28" s="20"/>
      <c r="C28" s="20"/>
      <c r="D28" s="20"/>
      <c r="E28" s="20"/>
      <c r="F28" s="20"/>
      <c r="G28" s="21"/>
      <c r="H28" s="20"/>
      <c r="I28" s="20"/>
      <c r="J28" s="22"/>
      <c r="K28" s="20"/>
    </row>
    <row r="29" customFormat="false" ht="15" hidden="false" customHeight="false" outlineLevel="0" collapsed="false">
      <c r="A29" s="20"/>
      <c r="B29" s="20"/>
      <c r="C29" s="20"/>
      <c r="D29" s="20"/>
      <c r="E29" s="20"/>
      <c r="F29" s="20"/>
      <c r="G29" s="21"/>
      <c r="H29" s="20"/>
      <c r="I29" s="20"/>
      <c r="J29" s="22"/>
      <c r="K29" s="20"/>
    </row>
    <row r="30" customFormat="false" ht="15" hidden="false" customHeight="false" outlineLevel="0" collapsed="false">
      <c r="A30" s="20"/>
      <c r="B30" s="20"/>
      <c r="C30" s="20"/>
      <c r="D30" s="20"/>
      <c r="E30" s="20"/>
      <c r="F30" s="20"/>
      <c r="G30" s="21"/>
      <c r="H30" s="20"/>
      <c r="I30" s="20"/>
      <c r="J30" s="22"/>
      <c r="K30" s="20"/>
    </row>
    <row r="31" customFormat="false" ht="15" hidden="false" customHeight="false" outlineLevel="0" collapsed="false">
      <c r="A31" s="20"/>
      <c r="B31" s="20"/>
      <c r="C31" s="20"/>
      <c r="D31" s="20"/>
      <c r="E31" s="20"/>
      <c r="F31" s="20"/>
      <c r="G31" s="21"/>
      <c r="H31" s="20"/>
      <c r="I31" s="20"/>
      <c r="J31" s="22"/>
      <c r="K31" s="20"/>
    </row>
    <row r="32" customFormat="false" ht="15" hidden="false" customHeight="false" outlineLevel="0" collapsed="false">
      <c r="A32" s="20"/>
      <c r="B32" s="20"/>
      <c r="C32" s="20"/>
      <c r="D32" s="20"/>
      <c r="E32" s="20"/>
      <c r="F32" s="20"/>
      <c r="G32" s="21"/>
      <c r="H32" s="20"/>
      <c r="I32" s="20"/>
      <c r="J32" s="22"/>
      <c r="K32" s="20"/>
    </row>
    <row r="33" customFormat="false" ht="15" hidden="false" customHeight="false" outlineLevel="0" collapsed="false">
      <c r="A33" s="20"/>
      <c r="B33" s="20"/>
      <c r="C33" s="20"/>
      <c r="D33" s="20"/>
      <c r="E33" s="20"/>
      <c r="F33" s="20"/>
      <c r="G33" s="21"/>
      <c r="H33" s="20"/>
      <c r="I33" s="20"/>
      <c r="J33" s="22"/>
      <c r="K33" s="20"/>
    </row>
    <row r="34" customFormat="false" ht="15" hidden="false" customHeight="false" outlineLevel="0" collapsed="false">
      <c r="A34" s="20"/>
      <c r="B34" s="20"/>
      <c r="C34" s="20"/>
      <c r="D34" s="20"/>
      <c r="E34" s="20"/>
      <c r="F34" s="20"/>
      <c r="G34" s="21"/>
      <c r="H34" s="20"/>
      <c r="I34" s="20"/>
      <c r="J34" s="22"/>
      <c r="K34" s="20"/>
    </row>
    <row r="35" customFormat="false" ht="15" hidden="false" customHeight="false" outlineLevel="0" collapsed="false">
      <c r="A35" s="20"/>
      <c r="B35" s="20"/>
      <c r="C35" s="20"/>
      <c r="D35" s="20"/>
      <c r="E35" s="20"/>
      <c r="F35" s="20"/>
      <c r="G35" s="21"/>
      <c r="H35" s="20"/>
      <c r="I35" s="20"/>
      <c r="J35" s="22"/>
      <c r="K35" s="20"/>
    </row>
    <row r="36" customFormat="false" ht="15" hidden="false" customHeight="false" outlineLevel="0" collapsed="false">
      <c r="A36" s="20"/>
      <c r="B36" s="20"/>
      <c r="C36" s="20"/>
      <c r="D36" s="20"/>
      <c r="E36" s="20"/>
      <c r="F36" s="20"/>
      <c r="G36" s="21"/>
      <c r="H36" s="20"/>
      <c r="I36" s="20"/>
      <c r="J36" s="22"/>
      <c r="K36" s="20"/>
    </row>
    <row r="37" customFormat="false" ht="15" hidden="false" customHeight="false" outlineLevel="0" collapsed="false">
      <c r="A37" s="20"/>
      <c r="B37" s="20"/>
      <c r="C37" s="20"/>
      <c r="D37" s="20"/>
      <c r="E37" s="20"/>
      <c r="F37" s="20"/>
      <c r="G37" s="21"/>
      <c r="H37" s="20"/>
      <c r="I37" s="20"/>
      <c r="J37" s="22"/>
      <c r="K37" s="20"/>
    </row>
    <row r="38" customFormat="false" ht="15" hidden="false" customHeight="false" outlineLevel="0" collapsed="false">
      <c r="A38" s="20"/>
      <c r="B38" s="20"/>
      <c r="C38" s="20"/>
      <c r="D38" s="20"/>
      <c r="E38" s="20"/>
      <c r="F38" s="20"/>
      <c r="G38" s="21"/>
      <c r="H38" s="20"/>
      <c r="I38" s="20"/>
      <c r="J38" s="22"/>
      <c r="K38" s="20"/>
    </row>
    <row r="39" customFormat="false" ht="15" hidden="false" customHeight="false" outlineLevel="0" collapsed="false">
      <c r="A39" s="20"/>
      <c r="B39" s="20"/>
      <c r="C39" s="20"/>
      <c r="D39" s="20"/>
      <c r="E39" s="20"/>
      <c r="F39" s="20"/>
      <c r="G39" s="21"/>
      <c r="H39" s="20"/>
      <c r="I39" s="20"/>
      <c r="J39" s="22"/>
      <c r="K39" s="20"/>
    </row>
    <row r="40" customFormat="false" ht="15" hidden="false" customHeight="false" outlineLevel="0" collapsed="false">
      <c r="A40" s="20"/>
      <c r="B40" s="20"/>
      <c r="C40" s="20"/>
      <c r="D40" s="20"/>
      <c r="E40" s="20"/>
      <c r="F40" s="20"/>
      <c r="G40" s="21"/>
      <c r="H40" s="20"/>
      <c r="I40" s="20"/>
      <c r="J40" s="22"/>
      <c r="K40" s="20"/>
    </row>
    <row r="41" customFormat="false" ht="15" hidden="false" customHeight="false" outlineLevel="0" collapsed="false">
      <c r="A41" s="20"/>
      <c r="B41" s="20"/>
      <c r="C41" s="20"/>
      <c r="D41" s="20"/>
      <c r="E41" s="20"/>
      <c r="F41" s="20"/>
      <c r="G41" s="21"/>
      <c r="H41" s="20"/>
      <c r="I41" s="20"/>
      <c r="J41" s="22"/>
      <c r="K41" s="20"/>
    </row>
    <row r="42" customFormat="false" ht="15" hidden="false" customHeight="false" outlineLevel="0" collapsed="false">
      <c r="A42" s="20"/>
      <c r="B42" s="20"/>
      <c r="C42" s="20"/>
      <c r="D42" s="20"/>
      <c r="E42" s="20"/>
      <c r="F42" s="20"/>
      <c r="G42" s="21"/>
      <c r="H42" s="20"/>
      <c r="I42" s="20"/>
      <c r="J42" s="22"/>
      <c r="K42" s="20"/>
    </row>
    <row r="43" customFormat="false" ht="15" hidden="false" customHeight="false" outlineLevel="0" collapsed="false">
      <c r="A43" s="20"/>
      <c r="B43" s="20"/>
      <c r="C43" s="20"/>
      <c r="D43" s="20"/>
      <c r="E43" s="20"/>
      <c r="F43" s="20"/>
      <c r="G43" s="21"/>
      <c r="H43" s="20"/>
      <c r="I43" s="20"/>
      <c r="J43" s="22"/>
      <c r="K43" s="20"/>
    </row>
    <row r="44" customFormat="false" ht="15" hidden="false" customHeight="false" outlineLevel="0" collapsed="false">
      <c r="A44" s="20"/>
      <c r="B44" s="20"/>
      <c r="C44" s="20"/>
      <c r="D44" s="20"/>
      <c r="E44" s="20"/>
      <c r="F44" s="20"/>
      <c r="G44" s="21"/>
      <c r="H44" s="20"/>
      <c r="I44" s="20"/>
      <c r="J44" s="22"/>
      <c r="K44" s="20"/>
    </row>
    <row r="45" customFormat="false" ht="15" hidden="false" customHeight="false" outlineLevel="0" collapsed="false">
      <c r="A45" s="20"/>
      <c r="B45" s="20"/>
      <c r="C45" s="20"/>
      <c r="D45" s="20"/>
      <c r="E45" s="20"/>
      <c r="F45" s="20"/>
      <c r="G45" s="21"/>
      <c r="H45" s="20"/>
      <c r="I45" s="20"/>
      <c r="J45" s="22"/>
      <c r="K45" s="20"/>
    </row>
    <row r="46" customFormat="false" ht="15" hidden="false" customHeight="false" outlineLevel="0" collapsed="false">
      <c r="A46" s="20"/>
      <c r="B46" s="20"/>
      <c r="C46" s="20"/>
      <c r="D46" s="20"/>
      <c r="E46" s="20"/>
      <c r="F46" s="20"/>
      <c r="G46" s="21"/>
      <c r="H46" s="20"/>
      <c r="I46" s="20"/>
      <c r="J46" s="22"/>
      <c r="K46" s="20"/>
    </row>
    <row r="47" customFormat="false" ht="15" hidden="false" customHeight="false" outlineLevel="0" collapsed="false">
      <c r="A47" s="20"/>
      <c r="B47" s="20"/>
      <c r="C47" s="20"/>
      <c r="D47" s="20"/>
      <c r="E47" s="20"/>
      <c r="F47" s="20"/>
      <c r="G47" s="21"/>
      <c r="H47" s="20"/>
      <c r="I47" s="20"/>
      <c r="J47" s="22"/>
      <c r="K47" s="20"/>
    </row>
    <row r="48" customFormat="false" ht="15" hidden="false" customHeight="false" outlineLevel="0" collapsed="false">
      <c r="A48" s="20"/>
      <c r="B48" s="20"/>
      <c r="C48" s="20"/>
      <c r="D48" s="20"/>
      <c r="E48" s="20"/>
      <c r="F48" s="20"/>
      <c r="G48" s="21"/>
      <c r="H48" s="20"/>
      <c r="I48" s="20"/>
      <c r="J48" s="22"/>
      <c r="K48" s="20"/>
    </row>
    <row r="49" customFormat="false" ht="15" hidden="false" customHeight="false" outlineLevel="0" collapsed="false">
      <c r="A49" s="20"/>
      <c r="B49" s="20"/>
      <c r="C49" s="20"/>
      <c r="D49" s="20"/>
      <c r="E49" s="20"/>
      <c r="F49" s="20"/>
      <c r="G49" s="21"/>
      <c r="H49" s="20"/>
      <c r="I49" s="20"/>
      <c r="J49" s="22"/>
      <c r="K49" s="20"/>
    </row>
    <row r="50" customFormat="false" ht="15" hidden="false" customHeight="false" outlineLevel="0" collapsed="false">
      <c r="A50" s="20"/>
      <c r="B50" s="20"/>
      <c r="C50" s="20"/>
      <c r="D50" s="20"/>
      <c r="E50" s="20"/>
      <c r="F50" s="20"/>
      <c r="G50" s="21"/>
      <c r="H50" s="20"/>
      <c r="I50" s="20"/>
      <c r="J50" s="22"/>
      <c r="K50" s="20"/>
    </row>
    <row r="51" customFormat="false" ht="15" hidden="false" customHeight="false" outlineLevel="0" collapsed="false">
      <c r="A51" s="20"/>
      <c r="B51" s="20"/>
      <c r="C51" s="20"/>
      <c r="D51" s="20"/>
      <c r="E51" s="20"/>
      <c r="F51" s="20"/>
      <c r="G51" s="21"/>
      <c r="H51" s="20"/>
      <c r="I51" s="20"/>
      <c r="J51" s="22"/>
      <c r="K51" s="20"/>
    </row>
    <row r="52" customFormat="false" ht="15" hidden="false" customHeight="false" outlineLevel="0" collapsed="false">
      <c r="A52" s="20"/>
      <c r="B52" s="20"/>
      <c r="C52" s="20"/>
      <c r="D52" s="20"/>
      <c r="E52" s="20"/>
      <c r="F52" s="20"/>
      <c r="G52" s="21"/>
      <c r="H52" s="20"/>
      <c r="I52" s="20"/>
      <c r="J52" s="22"/>
      <c r="K52" s="20"/>
    </row>
    <row r="53" customFormat="false" ht="15" hidden="false" customHeight="false" outlineLevel="0" collapsed="false">
      <c r="A53" s="20"/>
      <c r="B53" s="20"/>
      <c r="C53" s="20"/>
      <c r="D53" s="20"/>
      <c r="E53" s="20"/>
      <c r="F53" s="20"/>
      <c r="G53" s="21"/>
      <c r="H53" s="20"/>
      <c r="I53" s="20"/>
      <c r="J53" s="22"/>
      <c r="K53" s="20"/>
    </row>
    <row r="54" customFormat="false" ht="15" hidden="false" customHeight="false" outlineLevel="0" collapsed="false">
      <c r="A54" s="20"/>
      <c r="B54" s="20"/>
      <c r="C54" s="20"/>
      <c r="D54" s="20"/>
      <c r="E54" s="20"/>
      <c r="F54" s="20"/>
      <c r="G54" s="21"/>
      <c r="H54" s="20"/>
      <c r="I54" s="20"/>
      <c r="J54" s="22"/>
      <c r="K54" s="20"/>
    </row>
    <row r="55" customFormat="false" ht="15" hidden="false" customHeight="false" outlineLevel="0" collapsed="false">
      <c r="A55" s="20"/>
      <c r="B55" s="20"/>
      <c r="C55" s="20"/>
      <c r="D55" s="20"/>
      <c r="E55" s="20"/>
      <c r="F55" s="20"/>
      <c r="G55" s="21"/>
      <c r="H55" s="20"/>
      <c r="I55" s="20"/>
      <c r="J55" s="22"/>
      <c r="K55" s="20"/>
    </row>
    <row r="56" customFormat="false" ht="15" hidden="false" customHeight="false" outlineLevel="0" collapsed="false">
      <c r="A56" s="20"/>
      <c r="B56" s="20"/>
      <c r="C56" s="20"/>
      <c r="D56" s="20"/>
      <c r="E56" s="20"/>
      <c r="F56" s="20"/>
      <c r="G56" s="21"/>
      <c r="H56" s="20"/>
      <c r="I56" s="20"/>
      <c r="J56" s="22"/>
      <c r="K56" s="20"/>
    </row>
    <row r="57" customFormat="false" ht="15" hidden="false" customHeight="false" outlineLevel="0" collapsed="false">
      <c r="A57" s="20"/>
      <c r="B57" s="20"/>
      <c r="C57" s="20"/>
      <c r="D57" s="20"/>
      <c r="E57" s="20"/>
      <c r="F57" s="20"/>
      <c r="G57" s="21"/>
      <c r="H57" s="20"/>
      <c r="I57" s="20"/>
      <c r="J57" s="22"/>
      <c r="K57" s="20"/>
    </row>
    <row r="58" customFormat="false" ht="15" hidden="false" customHeight="false" outlineLevel="0" collapsed="false">
      <c r="A58" s="20"/>
      <c r="B58" s="20"/>
      <c r="C58" s="20"/>
      <c r="D58" s="20"/>
      <c r="E58" s="20"/>
      <c r="F58" s="20"/>
      <c r="G58" s="21"/>
      <c r="H58" s="20"/>
      <c r="I58" s="20"/>
      <c r="J58" s="22"/>
      <c r="K58" s="20"/>
    </row>
    <row r="59" customFormat="false" ht="15" hidden="false" customHeight="false" outlineLevel="0" collapsed="false">
      <c r="A59" s="20"/>
      <c r="B59" s="20"/>
      <c r="C59" s="20"/>
      <c r="D59" s="20"/>
      <c r="E59" s="20"/>
      <c r="F59" s="20"/>
      <c r="G59" s="21"/>
      <c r="H59" s="20"/>
      <c r="I59" s="20"/>
      <c r="J59" s="22"/>
      <c r="K59" s="20"/>
    </row>
    <row r="60" customFormat="false" ht="15" hidden="false" customHeight="false" outlineLevel="0" collapsed="false">
      <c r="A60" s="20"/>
      <c r="B60" s="20"/>
      <c r="C60" s="20"/>
      <c r="D60" s="20"/>
      <c r="E60" s="20"/>
      <c r="F60" s="20"/>
      <c r="G60" s="21"/>
      <c r="H60" s="20"/>
      <c r="I60" s="20"/>
      <c r="J60" s="22"/>
      <c r="K60" s="20"/>
    </row>
    <row r="61" customFormat="false" ht="15" hidden="false" customHeight="false" outlineLevel="0" collapsed="false">
      <c r="A61" s="20"/>
      <c r="B61" s="20"/>
      <c r="C61" s="20"/>
      <c r="D61" s="20"/>
      <c r="E61" s="20"/>
      <c r="F61" s="20"/>
      <c r="G61" s="21"/>
      <c r="H61" s="20"/>
      <c r="I61" s="20"/>
      <c r="J61" s="22"/>
      <c r="K61" s="20"/>
    </row>
    <row r="62" customFormat="false" ht="15" hidden="false" customHeight="false" outlineLevel="0" collapsed="false">
      <c r="A62" s="20"/>
      <c r="B62" s="20"/>
      <c r="C62" s="20"/>
      <c r="D62" s="20"/>
      <c r="E62" s="20"/>
      <c r="F62" s="20"/>
      <c r="G62" s="21"/>
      <c r="H62" s="20"/>
      <c r="I62" s="20"/>
      <c r="J62" s="22"/>
      <c r="K62" s="20"/>
    </row>
    <row r="63" customFormat="false" ht="15" hidden="false" customHeight="false" outlineLevel="0" collapsed="false">
      <c r="A63" s="20"/>
      <c r="B63" s="20"/>
      <c r="C63" s="20"/>
      <c r="D63" s="20"/>
      <c r="E63" s="20"/>
      <c r="F63" s="20"/>
      <c r="G63" s="21"/>
      <c r="H63" s="20"/>
      <c r="I63" s="20"/>
      <c r="J63" s="22"/>
      <c r="K63" s="20"/>
    </row>
    <row r="64" customFormat="false" ht="15" hidden="false" customHeight="false" outlineLevel="0" collapsed="false">
      <c r="A64" s="20"/>
      <c r="B64" s="20"/>
      <c r="C64" s="20"/>
      <c r="D64" s="20"/>
      <c r="E64" s="20"/>
      <c r="F64" s="20"/>
      <c r="G64" s="21"/>
      <c r="H64" s="20"/>
      <c r="I64" s="20"/>
      <c r="J64" s="22"/>
      <c r="K64" s="20"/>
    </row>
    <row r="65" customFormat="false" ht="15" hidden="false" customHeight="false" outlineLevel="0" collapsed="false">
      <c r="A65" s="20"/>
      <c r="B65" s="20"/>
      <c r="C65" s="20"/>
      <c r="D65" s="20"/>
      <c r="E65" s="20"/>
      <c r="F65" s="20"/>
      <c r="G65" s="21"/>
      <c r="H65" s="20"/>
      <c r="I65" s="20"/>
      <c r="J65" s="22"/>
      <c r="K65" s="20"/>
    </row>
    <row r="66" customFormat="false" ht="15" hidden="false" customHeight="false" outlineLevel="0" collapsed="false">
      <c r="A66" s="20"/>
      <c r="B66" s="20"/>
      <c r="C66" s="20"/>
      <c r="D66" s="20"/>
      <c r="E66" s="20"/>
      <c r="F66" s="20"/>
      <c r="G66" s="21"/>
      <c r="H66" s="20"/>
      <c r="I66" s="20"/>
      <c r="J66" s="22"/>
      <c r="K66" s="20"/>
    </row>
    <row r="67" customFormat="false" ht="15" hidden="false" customHeight="false" outlineLevel="0" collapsed="false">
      <c r="A67" s="20"/>
      <c r="B67" s="20"/>
      <c r="C67" s="20"/>
      <c r="D67" s="20"/>
      <c r="E67" s="20"/>
      <c r="F67" s="20"/>
      <c r="G67" s="21"/>
      <c r="H67" s="20"/>
      <c r="I67" s="20"/>
      <c r="J67" s="22"/>
      <c r="K67" s="20"/>
    </row>
    <row r="68" customFormat="false" ht="15" hidden="false" customHeight="false" outlineLevel="0" collapsed="false">
      <c r="A68" s="20"/>
      <c r="B68" s="20"/>
      <c r="C68" s="20"/>
      <c r="D68" s="20"/>
      <c r="E68" s="20"/>
      <c r="F68" s="20"/>
      <c r="G68" s="21"/>
      <c r="H68" s="20"/>
      <c r="I68" s="20"/>
      <c r="J68" s="22"/>
      <c r="K68" s="20"/>
    </row>
    <row r="69" customFormat="false" ht="15" hidden="false" customHeight="false" outlineLevel="0" collapsed="false">
      <c r="A69" s="20"/>
      <c r="B69" s="20"/>
      <c r="C69" s="20"/>
      <c r="D69" s="20"/>
      <c r="E69" s="20"/>
      <c r="F69" s="20"/>
      <c r="G69" s="21"/>
      <c r="H69" s="20"/>
      <c r="I69" s="20"/>
      <c r="J69" s="22"/>
      <c r="K69" s="20"/>
    </row>
    <row r="70" customFormat="false" ht="15" hidden="false" customHeight="false" outlineLevel="0" collapsed="false">
      <c r="A70" s="20"/>
      <c r="B70" s="20"/>
      <c r="C70" s="20"/>
      <c r="D70" s="20"/>
      <c r="E70" s="20"/>
      <c r="F70" s="20"/>
      <c r="G70" s="21"/>
      <c r="H70" s="20"/>
      <c r="I70" s="20"/>
      <c r="J70" s="22"/>
      <c r="K70" s="20"/>
    </row>
    <row r="71" customFormat="false" ht="15" hidden="false" customHeight="false" outlineLevel="0" collapsed="false">
      <c r="A71" s="20"/>
      <c r="B71" s="20"/>
      <c r="C71" s="20"/>
      <c r="D71" s="20"/>
      <c r="E71" s="20"/>
      <c r="F71" s="20"/>
      <c r="G71" s="21"/>
      <c r="H71" s="20"/>
      <c r="I71" s="20"/>
      <c r="J71" s="22"/>
      <c r="K71" s="20"/>
    </row>
    <row r="72" customFormat="false" ht="15" hidden="false" customHeight="false" outlineLevel="0" collapsed="false">
      <c r="A72" s="20"/>
      <c r="B72" s="20"/>
      <c r="C72" s="20"/>
      <c r="D72" s="20"/>
      <c r="E72" s="20"/>
      <c r="F72" s="20"/>
      <c r="G72" s="21"/>
      <c r="H72" s="20"/>
      <c r="I72" s="20"/>
      <c r="J72" s="22"/>
      <c r="K72" s="20"/>
    </row>
    <row r="73" customFormat="false" ht="15" hidden="false" customHeight="false" outlineLevel="0" collapsed="false">
      <c r="A73" s="20"/>
      <c r="B73" s="20"/>
      <c r="C73" s="20"/>
      <c r="D73" s="20"/>
      <c r="E73" s="20"/>
      <c r="F73" s="20"/>
      <c r="G73" s="21"/>
      <c r="H73" s="20"/>
      <c r="I73" s="20"/>
      <c r="J73" s="22"/>
      <c r="K73" s="20"/>
    </row>
    <row r="74" customFormat="false" ht="15" hidden="false" customHeight="false" outlineLevel="0" collapsed="false">
      <c r="A74" s="20"/>
      <c r="B74" s="20"/>
      <c r="C74" s="20"/>
      <c r="D74" s="20"/>
      <c r="E74" s="20"/>
      <c r="F74" s="20"/>
      <c r="G74" s="21"/>
      <c r="H74" s="20"/>
      <c r="I74" s="20"/>
      <c r="J74" s="22"/>
      <c r="K74" s="20"/>
    </row>
    <row r="75" customFormat="false" ht="15" hidden="false" customHeight="false" outlineLevel="0" collapsed="false">
      <c r="A75" s="20"/>
      <c r="B75" s="20"/>
      <c r="C75" s="20"/>
      <c r="D75" s="20"/>
      <c r="E75" s="20"/>
      <c r="F75" s="20"/>
      <c r="G75" s="21"/>
      <c r="H75" s="20"/>
      <c r="I75" s="20"/>
      <c r="J75" s="22"/>
      <c r="K75" s="20"/>
    </row>
    <row r="76" customFormat="false" ht="15" hidden="false" customHeight="false" outlineLevel="0" collapsed="false">
      <c r="A76" s="20"/>
      <c r="B76" s="20"/>
      <c r="C76" s="20"/>
      <c r="D76" s="20"/>
      <c r="E76" s="20"/>
      <c r="F76" s="20"/>
      <c r="G76" s="21"/>
      <c r="H76" s="20"/>
      <c r="I76" s="20"/>
      <c r="J76" s="22"/>
      <c r="K76" s="20"/>
    </row>
    <row r="77" customFormat="false" ht="15" hidden="false" customHeight="false" outlineLevel="0" collapsed="false">
      <c r="A77" s="20"/>
      <c r="B77" s="20"/>
      <c r="C77" s="20"/>
      <c r="D77" s="20"/>
      <c r="E77" s="20"/>
      <c r="F77" s="20"/>
      <c r="G77" s="21"/>
      <c r="H77" s="20"/>
      <c r="I77" s="20"/>
      <c r="J77" s="22"/>
      <c r="K77" s="20"/>
    </row>
    <row r="78" customFormat="false" ht="15" hidden="false" customHeight="false" outlineLevel="0" collapsed="false">
      <c r="A78" s="20"/>
      <c r="B78" s="20"/>
      <c r="C78" s="20"/>
      <c r="D78" s="20"/>
      <c r="E78" s="20"/>
      <c r="F78" s="20"/>
      <c r="G78" s="21"/>
      <c r="H78" s="20"/>
      <c r="I78" s="20"/>
      <c r="J78" s="22"/>
      <c r="K78" s="20"/>
    </row>
    <row r="79" customFormat="false" ht="15" hidden="false" customHeight="false" outlineLevel="0" collapsed="false">
      <c r="A79" s="20"/>
      <c r="B79" s="20"/>
      <c r="C79" s="20"/>
      <c r="D79" s="20"/>
      <c r="E79" s="20"/>
      <c r="F79" s="20"/>
      <c r="G79" s="21"/>
      <c r="H79" s="20"/>
      <c r="I79" s="20"/>
      <c r="J79" s="22"/>
      <c r="K79" s="20"/>
    </row>
    <row r="80" customFormat="false" ht="15" hidden="false" customHeight="false" outlineLevel="0" collapsed="false">
      <c r="A80" s="20"/>
      <c r="B80" s="20"/>
      <c r="C80" s="20"/>
      <c r="D80" s="20"/>
      <c r="E80" s="20"/>
      <c r="F80" s="20"/>
      <c r="G80" s="21"/>
      <c r="H80" s="20"/>
      <c r="I80" s="20"/>
      <c r="J80" s="22"/>
      <c r="K80" s="20"/>
    </row>
    <row r="81" customFormat="false" ht="15" hidden="false" customHeight="false" outlineLevel="0" collapsed="false">
      <c r="A81" s="20"/>
      <c r="B81" s="20"/>
      <c r="C81" s="20"/>
      <c r="D81" s="20"/>
      <c r="E81" s="20"/>
      <c r="F81" s="20"/>
      <c r="G81" s="21"/>
      <c r="H81" s="20"/>
      <c r="I81" s="20"/>
      <c r="J81" s="22"/>
      <c r="K81" s="20"/>
    </row>
    <row r="82" customFormat="false" ht="15" hidden="false" customHeight="false" outlineLevel="0" collapsed="false">
      <c r="A82" s="20"/>
      <c r="B82" s="20"/>
      <c r="C82" s="20"/>
      <c r="D82" s="20"/>
      <c r="E82" s="20"/>
      <c r="F82" s="20"/>
      <c r="G82" s="21"/>
      <c r="H82" s="20"/>
      <c r="I82" s="20"/>
      <c r="J82" s="22"/>
      <c r="K82" s="20"/>
    </row>
    <row r="83" customFormat="false" ht="15" hidden="false" customHeight="false" outlineLevel="0" collapsed="false">
      <c r="A83" s="20"/>
      <c r="B83" s="20"/>
      <c r="C83" s="20"/>
      <c r="D83" s="20"/>
      <c r="E83" s="20"/>
      <c r="F83" s="20"/>
      <c r="G83" s="21"/>
      <c r="H83" s="20"/>
      <c r="I83" s="20"/>
      <c r="J83" s="22"/>
      <c r="K83" s="20"/>
    </row>
    <row r="84" customFormat="false" ht="15" hidden="false" customHeight="false" outlineLevel="0" collapsed="false">
      <c r="A84" s="20"/>
      <c r="B84" s="20"/>
      <c r="C84" s="20"/>
      <c r="D84" s="20"/>
      <c r="E84" s="20"/>
      <c r="F84" s="20"/>
      <c r="G84" s="21"/>
      <c r="H84" s="20"/>
      <c r="I84" s="20"/>
      <c r="J84" s="22"/>
      <c r="K84" s="20"/>
    </row>
    <row r="85" customFormat="false" ht="15" hidden="false" customHeight="false" outlineLevel="0" collapsed="false">
      <c r="A85" s="20"/>
      <c r="B85" s="20"/>
      <c r="C85" s="20"/>
      <c r="D85" s="20"/>
      <c r="E85" s="20"/>
      <c r="F85" s="20"/>
      <c r="G85" s="21"/>
      <c r="H85" s="20"/>
      <c r="I85" s="20"/>
      <c r="J85" s="22"/>
      <c r="K85" s="20"/>
    </row>
    <row r="86" customFormat="false" ht="15" hidden="false" customHeight="false" outlineLevel="0" collapsed="false">
      <c r="A86" s="20"/>
      <c r="B86" s="20"/>
      <c r="C86" s="20"/>
      <c r="D86" s="20"/>
      <c r="E86" s="20"/>
      <c r="F86" s="20"/>
      <c r="G86" s="21"/>
      <c r="H86" s="20"/>
      <c r="I86" s="20"/>
      <c r="J86" s="22"/>
      <c r="K86" s="20"/>
    </row>
    <row r="87" customFormat="false" ht="15" hidden="false" customHeight="false" outlineLevel="0" collapsed="false">
      <c r="A87" s="20"/>
      <c r="B87" s="20"/>
      <c r="C87" s="20"/>
      <c r="D87" s="20"/>
      <c r="E87" s="20"/>
      <c r="F87" s="20"/>
      <c r="G87" s="21"/>
      <c r="H87" s="20"/>
      <c r="I87" s="20"/>
      <c r="J87" s="22"/>
      <c r="K87" s="20"/>
    </row>
    <row r="88" customFormat="false" ht="15" hidden="false" customHeight="false" outlineLevel="0" collapsed="false">
      <c r="A88" s="20"/>
      <c r="B88" s="20"/>
      <c r="C88" s="20"/>
      <c r="D88" s="20"/>
      <c r="E88" s="20"/>
      <c r="F88" s="20"/>
      <c r="G88" s="21"/>
      <c r="H88" s="20"/>
      <c r="I88" s="20"/>
      <c r="J88" s="22"/>
      <c r="K88" s="20"/>
    </row>
    <row r="89" customFormat="false" ht="15" hidden="false" customHeight="false" outlineLevel="0" collapsed="false">
      <c r="A89" s="20"/>
      <c r="B89" s="20"/>
      <c r="C89" s="20"/>
      <c r="D89" s="20"/>
      <c r="E89" s="20"/>
      <c r="F89" s="20"/>
      <c r="G89" s="21"/>
      <c r="H89" s="20"/>
      <c r="I89" s="20"/>
      <c r="J89" s="22"/>
      <c r="K89" s="20"/>
    </row>
    <row r="90" customFormat="false" ht="15" hidden="false" customHeight="false" outlineLevel="0" collapsed="false">
      <c r="A90" s="20"/>
      <c r="B90" s="20"/>
      <c r="C90" s="20"/>
      <c r="D90" s="20"/>
      <c r="E90" s="20"/>
      <c r="F90" s="20"/>
      <c r="G90" s="21"/>
      <c r="H90" s="20"/>
      <c r="I90" s="20"/>
      <c r="J90" s="22"/>
      <c r="K90" s="20"/>
    </row>
    <row r="91" customFormat="false" ht="15" hidden="false" customHeight="false" outlineLevel="0" collapsed="false">
      <c r="A91" s="20"/>
      <c r="B91" s="20"/>
      <c r="C91" s="20"/>
      <c r="D91" s="20"/>
      <c r="E91" s="20"/>
      <c r="F91" s="20"/>
      <c r="G91" s="21"/>
      <c r="H91" s="20"/>
      <c r="I91" s="20"/>
      <c r="J91" s="22"/>
      <c r="K91" s="20"/>
    </row>
    <row r="92" customFormat="false" ht="15" hidden="false" customHeight="false" outlineLevel="0" collapsed="false">
      <c r="A92" s="20"/>
      <c r="B92" s="20"/>
      <c r="C92" s="20"/>
      <c r="D92" s="20"/>
      <c r="E92" s="20"/>
      <c r="F92" s="20"/>
      <c r="G92" s="21"/>
      <c r="H92" s="20"/>
      <c r="I92" s="20"/>
      <c r="J92" s="22"/>
      <c r="K92" s="20"/>
    </row>
    <row r="93" customFormat="false" ht="15" hidden="false" customHeight="false" outlineLevel="0" collapsed="false">
      <c r="A93" s="20"/>
      <c r="B93" s="20"/>
      <c r="C93" s="20"/>
      <c r="D93" s="20"/>
      <c r="E93" s="20"/>
      <c r="F93" s="20"/>
      <c r="G93" s="21"/>
      <c r="H93" s="20"/>
      <c r="I93" s="20"/>
      <c r="J93" s="22"/>
      <c r="K93" s="20"/>
    </row>
    <row r="94" customFormat="false" ht="15" hidden="false" customHeight="false" outlineLevel="0" collapsed="false">
      <c r="A94" s="20"/>
      <c r="B94" s="20"/>
      <c r="C94" s="20"/>
      <c r="D94" s="20"/>
      <c r="E94" s="20"/>
      <c r="F94" s="20"/>
      <c r="G94" s="21"/>
      <c r="H94" s="20"/>
      <c r="I94" s="20"/>
      <c r="J94" s="22"/>
      <c r="K94" s="20"/>
    </row>
    <row r="95" customFormat="false" ht="15" hidden="false" customHeight="false" outlineLevel="0" collapsed="false">
      <c r="A95" s="20"/>
      <c r="B95" s="20"/>
      <c r="C95" s="20"/>
      <c r="D95" s="20"/>
      <c r="E95" s="20"/>
      <c r="F95" s="20"/>
      <c r="G95" s="21"/>
      <c r="H95" s="20"/>
      <c r="I95" s="20"/>
      <c r="J95" s="22"/>
      <c r="K95" s="20"/>
    </row>
    <row r="96" customFormat="false" ht="15" hidden="false" customHeight="false" outlineLevel="0" collapsed="false">
      <c r="A96" s="20"/>
      <c r="B96" s="20"/>
      <c r="C96" s="20"/>
      <c r="D96" s="20"/>
      <c r="E96" s="20"/>
      <c r="F96" s="20"/>
      <c r="G96" s="21"/>
      <c r="H96" s="20"/>
      <c r="I96" s="20"/>
      <c r="J96" s="22"/>
      <c r="K96" s="20"/>
    </row>
    <row r="97" customFormat="false" ht="15" hidden="false" customHeight="false" outlineLevel="0" collapsed="false">
      <c r="A97" s="20"/>
      <c r="B97" s="20"/>
      <c r="C97" s="20"/>
      <c r="D97" s="20"/>
      <c r="E97" s="20"/>
      <c r="F97" s="20"/>
      <c r="G97" s="21"/>
      <c r="H97" s="20"/>
      <c r="I97" s="20"/>
      <c r="J97" s="22"/>
      <c r="K97" s="20"/>
    </row>
    <row r="98" customFormat="false" ht="15" hidden="false" customHeight="false" outlineLevel="0" collapsed="false">
      <c r="A98" s="20"/>
      <c r="B98" s="20"/>
      <c r="C98" s="20"/>
      <c r="D98" s="20"/>
      <c r="E98" s="20"/>
      <c r="F98" s="20"/>
      <c r="G98" s="21"/>
      <c r="H98" s="20"/>
      <c r="I98" s="20"/>
      <c r="J98" s="22"/>
      <c r="K98" s="20"/>
    </row>
    <row r="99" customFormat="false" ht="15" hidden="false" customHeight="false" outlineLevel="0" collapsed="false">
      <c r="A99" s="20"/>
      <c r="B99" s="20"/>
      <c r="C99" s="20"/>
      <c r="D99" s="20"/>
      <c r="E99" s="20"/>
      <c r="F99" s="20"/>
      <c r="G99" s="21"/>
      <c r="H99" s="20"/>
      <c r="I99" s="20"/>
      <c r="J99" s="22"/>
      <c r="K99" s="20"/>
    </row>
    <row r="100" customFormat="false" ht="15" hidden="false" customHeight="false" outlineLevel="0" collapsed="false">
      <c r="A100" s="20"/>
      <c r="B100" s="20"/>
      <c r="C100" s="20"/>
      <c r="D100" s="20"/>
      <c r="E100" s="20"/>
      <c r="F100" s="20"/>
      <c r="G100" s="21"/>
      <c r="H100" s="20"/>
      <c r="I100" s="20"/>
      <c r="J100" s="22"/>
      <c r="K100" s="20"/>
    </row>
    <row r="101" customFormat="false" ht="15" hidden="false" customHeight="false" outlineLevel="0" collapsed="false">
      <c r="A101" s="20"/>
      <c r="B101" s="20"/>
      <c r="C101" s="20"/>
      <c r="D101" s="20"/>
      <c r="E101" s="20"/>
      <c r="F101" s="20"/>
      <c r="G101" s="21"/>
      <c r="H101" s="20"/>
      <c r="I101" s="20"/>
      <c r="J101" s="22"/>
      <c r="K101" s="20"/>
    </row>
    <row r="102" customFormat="false" ht="15" hidden="false" customHeight="false" outlineLevel="0" collapsed="false">
      <c r="A102" s="20"/>
      <c r="B102" s="20"/>
      <c r="C102" s="20"/>
      <c r="D102" s="20"/>
      <c r="E102" s="20"/>
      <c r="F102" s="20"/>
      <c r="G102" s="21"/>
      <c r="H102" s="20"/>
      <c r="I102" s="20"/>
      <c r="J102" s="22"/>
      <c r="K102" s="20"/>
    </row>
    <row r="103" customFormat="false" ht="15" hidden="false" customHeight="false" outlineLevel="0" collapsed="false">
      <c r="A103" s="20"/>
      <c r="B103" s="20"/>
      <c r="C103" s="20"/>
      <c r="D103" s="20"/>
      <c r="E103" s="20"/>
      <c r="F103" s="20"/>
      <c r="G103" s="21"/>
      <c r="H103" s="20"/>
      <c r="I103" s="20"/>
      <c r="J103" s="22"/>
      <c r="K103" s="20"/>
    </row>
    <row r="104" customFormat="false" ht="15" hidden="false" customHeight="false" outlineLevel="0" collapsed="false">
      <c r="A104" s="20"/>
      <c r="B104" s="20"/>
      <c r="C104" s="20"/>
      <c r="D104" s="20"/>
      <c r="E104" s="20"/>
      <c r="F104" s="20"/>
      <c r="G104" s="21"/>
      <c r="H104" s="20"/>
      <c r="I104" s="20"/>
      <c r="J104" s="22"/>
      <c r="K104" s="20"/>
    </row>
    <row r="105" customFormat="false" ht="15" hidden="false" customHeight="false" outlineLevel="0" collapsed="false">
      <c r="A105" s="20"/>
      <c r="B105" s="20"/>
      <c r="C105" s="20"/>
      <c r="D105" s="20"/>
      <c r="E105" s="20"/>
      <c r="F105" s="20"/>
      <c r="G105" s="21"/>
      <c r="H105" s="20"/>
      <c r="I105" s="20"/>
      <c r="J105" s="22"/>
      <c r="K105" s="20"/>
    </row>
    <row r="106" customFormat="false" ht="15" hidden="false" customHeight="false" outlineLevel="0" collapsed="false">
      <c r="A106" s="20"/>
      <c r="B106" s="20"/>
      <c r="C106" s="20"/>
      <c r="D106" s="20"/>
      <c r="E106" s="20"/>
      <c r="F106" s="20"/>
      <c r="G106" s="21"/>
      <c r="H106" s="20"/>
      <c r="I106" s="20"/>
      <c r="J106" s="22"/>
      <c r="K106" s="20"/>
    </row>
    <row r="107" customFormat="false" ht="15" hidden="false" customHeight="false" outlineLevel="0" collapsed="false">
      <c r="A107" s="20"/>
      <c r="B107" s="20"/>
      <c r="C107" s="20"/>
      <c r="D107" s="20"/>
      <c r="E107" s="20"/>
      <c r="F107" s="20"/>
      <c r="G107" s="21"/>
      <c r="H107" s="20"/>
      <c r="I107" s="20"/>
      <c r="J107" s="22"/>
      <c r="K107" s="20"/>
    </row>
    <row r="108" customFormat="false" ht="15" hidden="false" customHeight="false" outlineLevel="0" collapsed="false">
      <c r="A108" s="20"/>
      <c r="B108" s="20"/>
      <c r="C108" s="20"/>
      <c r="D108" s="20"/>
      <c r="E108" s="20"/>
      <c r="F108" s="20"/>
      <c r="G108" s="21"/>
      <c r="H108" s="20"/>
      <c r="I108" s="20"/>
      <c r="J108" s="22"/>
      <c r="K108" s="20"/>
    </row>
    <row r="109" customFormat="false" ht="15" hidden="false" customHeight="false" outlineLevel="0" collapsed="false">
      <c r="A109" s="20"/>
      <c r="B109" s="20"/>
      <c r="C109" s="20"/>
      <c r="D109" s="20"/>
      <c r="E109" s="20"/>
      <c r="F109" s="20"/>
      <c r="G109" s="21"/>
      <c r="H109" s="20"/>
      <c r="I109" s="20"/>
      <c r="J109" s="22"/>
      <c r="K109" s="20"/>
    </row>
    <row r="110" customFormat="false" ht="15" hidden="false" customHeight="false" outlineLevel="0" collapsed="false">
      <c r="A110" s="20"/>
      <c r="B110" s="20"/>
      <c r="C110" s="20"/>
      <c r="D110" s="20"/>
      <c r="E110" s="20"/>
      <c r="F110" s="20"/>
      <c r="G110" s="21"/>
      <c r="H110" s="20"/>
      <c r="I110" s="20"/>
      <c r="J110" s="22"/>
      <c r="K110" s="20"/>
    </row>
    <row r="111" customFormat="false" ht="15" hidden="false" customHeight="false" outlineLevel="0" collapsed="false">
      <c r="A111" s="20"/>
      <c r="B111" s="20"/>
      <c r="C111" s="20"/>
      <c r="D111" s="20"/>
      <c r="E111" s="20"/>
      <c r="F111" s="20"/>
      <c r="G111" s="21"/>
      <c r="H111" s="20"/>
      <c r="I111" s="20"/>
      <c r="J111" s="22"/>
      <c r="K111" s="20"/>
    </row>
    <row r="112" customFormat="false" ht="15" hidden="false" customHeight="false" outlineLevel="0" collapsed="false">
      <c r="A112" s="20"/>
      <c r="B112" s="20"/>
      <c r="C112" s="20"/>
      <c r="D112" s="20"/>
      <c r="E112" s="20"/>
      <c r="F112" s="20"/>
      <c r="G112" s="21"/>
      <c r="H112" s="20"/>
      <c r="I112" s="20"/>
      <c r="J112" s="22"/>
      <c r="K112" s="20"/>
    </row>
    <row r="113" customFormat="false" ht="15" hidden="false" customHeight="false" outlineLevel="0" collapsed="false">
      <c r="A113" s="20"/>
      <c r="B113" s="20"/>
      <c r="C113" s="20"/>
      <c r="D113" s="20"/>
      <c r="E113" s="20"/>
      <c r="F113" s="20"/>
      <c r="G113" s="21"/>
      <c r="H113" s="20"/>
      <c r="I113" s="20"/>
      <c r="J113" s="22"/>
      <c r="K113" s="20"/>
    </row>
    <row r="114" customFormat="false" ht="15" hidden="false" customHeight="false" outlineLevel="0" collapsed="false">
      <c r="A114" s="20"/>
      <c r="B114" s="20"/>
      <c r="C114" s="20"/>
      <c r="D114" s="20"/>
      <c r="E114" s="20"/>
      <c r="F114" s="20"/>
      <c r="G114" s="21"/>
      <c r="H114" s="20"/>
      <c r="I114" s="20"/>
      <c r="J114" s="22"/>
      <c r="K114" s="20"/>
    </row>
    <row r="115" customFormat="false" ht="15" hidden="false" customHeight="false" outlineLevel="0" collapsed="false">
      <c r="A115" s="20"/>
      <c r="B115" s="20"/>
      <c r="C115" s="20"/>
      <c r="D115" s="20"/>
      <c r="E115" s="20"/>
      <c r="F115" s="20"/>
      <c r="G115" s="21"/>
      <c r="H115" s="20"/>
      <c r="I115" s="20"/>
      <c r="J115" s="22"/>
      <c r="K115" s="20"/>
    </row>
    <row r="116" customFormat="false" ht="15" hidden="false" customHeight="false" outlineLevel="0" collapsed="false">
      <c r="A116" s="20"/>
      <c r="B116" s="20"/>
      <c r="C116" s="20"/>
      <c r="D116" s="20"/>
      <c r="E116" s="20"/>
      <c r="F116" s="20"/>
      <c r="G116" s="21"/>
      <c r="H116" s="20"/>
      <c r="I116" s="20"/>
      <c r="J116" s="22"/>
      <c r="K116" s="20"/>
    </row>
    <row r="117" customFormat="false" ht="15" hidden="false" customHeight="false" outlineLevel="0" collapsed="false">
      <c r="A117" s="20"/>
      <c r="B117" s="20"/>
      <c r="C117" s="20"/>
      <c r="D117" s="20"/>
      <c r="E117" s="20"/>
      <c r="F117" s="20"/>
      <c r="G117" s="21"/>
      <c r="H117" s="20"/>
      <c r="I117" s="20"/>
      <c r="J117" s="22"/>
      <c r="K117" s="20"/>
    </row>
    <row r="118" customFormat="false" ht="15" hidden="false" customHeight="false" outlineLevel="0" collapsed="false">
      <c r="A118" s="20"/>
      <c r="B118" s="20"/>
      <c r="C118" s="20"/>
      <c r="D118" s="20"/>
      <c r="E118" s="20"/>
      <c r="F118" s="20"/>
      <c r="G118" s="21"/>
      <c r="H118" s="20"/>
      <c r="I118" s="20"/>
      <c r="J118" s="22"/>
      <c r="K118" s="20"/>
    </row>
    <row r="119" customFormat="false" ht="15" hidden="false" customHeight="false" outlineLevel="0" collapsed="false">
      <c r="A119" s="20"/>
      <c r="B119" s="20"/>
      <c r="C119" s="20"/>
      <c r="D119" s="20"/>
      <c r="E119" s="20"/>
      <c r="F119" s="20"/>
      <c r="G119" s="21"/>
      <c r="H119" s="20"/>
      <c r="I119" s="20"/>
      <c r="J119" s="22"/>
      <c r="K119" s="20"/>
    </row>
    <row r="120" customFormat="false" ht="15" hidden="false" customHeight="false" outlineLevel="0" collapsed="false">
      <c r="A120" s="20"/>
      <c r="B120" s="20"/>
      <c r="C120" s="20"/>
      <c r="D120" s="20"/>
      <c r="E120" s="20"/>
      <c r="F120" s="20"/>
      <c r="G120" s="21"/>
      <c r="H120" s="20"/>
      <c r="I120" s="20"/>
      <c r="J120" s="22"/>
      <c r="K120" s="20"/>
    </row>
    <row r="121" customFormat="false" ht="15" hidden="false" customHeight="false" outlineLevel="0" collapsed="false">
      <c r="A121" s="20"/>
      <c r="B121" s="20"/>
      <c r="C121" s="20"/>
      <c r="D121" s="20"/>
      <c r="E121" s="20"/>
      <c r="F121" s="20"/>
      <c r="G121" s="21"/>
      <c r="H121" s="20"/>
      <c r="I121" s="20"/>
      <c r="J121" s="22"/>
      <c r="K121" s="20"/>
    </row>
    <row r="122" customFormat="false" ht="15" hidden="false" customHeight="false" outlineLevel="0" collapsed="false">
      <c r="A122" s="20"/>
      <c r="B122" s="20"/>
      <c r="C122" s="20"/>
      <c r="D122" s="20"/>
      <c r="E122" s="20"/>
      <c r="F122" s="20"/>
      <c r="G122" s="21"/>
      <c r="H122" s="20"/>
      <c r="I122" s="20"/>
      <c r="J122" s="22"/>
      <c r="K122" s="20"/>
    </row>
    <row r="123" customFormat="false" ht="15" hidden="false" customHeight="false" outlineLevel="0" collapsed="false">
      <c r="A123" s="20"/>
      <c r="B123" s="20"/>
      <c r="C123" s="20"/>
      <c r="D123" s="20"/>
      <c r="E123" s="20"/>
      <c r="F123" s="20"/>
      <c r="G123" s="21"/>
      <c r="H123" s="20"/>
      <c r="I123" s="20"/>
      <c r="J123" s="22"/>
      <c r="K123" s="20"/>
    </row>
    <row r="124" customFormat="false" ht="15" hidden="false" customHeight="false" outlineLevel="0" collapsed="false">
      <c r="A124" s="20"/>
      <c r="B124" s="20"/>
      <c r="C124" s="20"/>
      <c r="D124" s="20"/>
      <c r="E124" s="20"/>
      <c r="F124" s="20"/>
      <c r="G124" s="21"/>
      <c r="H124" s="20"/>
      <c r="I124" s="20"/>
      <c r="J124" s="22"/>
      <c r="K124" s="20"/>
    </row>
    <row r="125" customFormat="false" ht="15" hidden="false" customHeight="false" outlineLevel="0" collapsed="false">
      <c r="A125" s="20"/>
      <c r="B125" s="20"/>
      <c r="C125" s="20"/>
      <c r="D125" s="20"/>
      <c r="E125" s="20"/>
      <c r="F125" s="20"/>
      <c r="G125" s="21"/>
      <c r="H125" s="20"/>
      <c r="I125" s="20"/>
      <c r="J125" s="22"/>
      <c r="K125" s="20"/>
    </row>
    <row r="126" customFormat="false" ht="15" hidden="false" customHeight="false" outlineLevel="0" collapsed="false">
      <c r="A126" s="20"/>
      <c r="B126" s="20"/>
      <c r="C126" s="20"/>
      <c r="D126" s="20"/>
      <c r="E126" s="20"/>
      <c r="F126" s="20"/>
      <c r="G126" s="21"/>
      <c r="H126" s="20"/>
      <c r="I126" s="20"/>
      <c r="J126" s="22"/>
      <c r="K126" s="20"/>
    </row>
    <row r="127" customFormat="false" ht="15" hidden="false" customHeight="false" outlineLevel="0" collapsed="false">
      <c r="A127" s="20"/>
      <c r="B127" s="20"/>
      <c r="C127" s="20"/>
      <c r="D127" s="20"/>
      <c r="E127" s="20"/>
      <c r="F127" s="20"/>
      <c r="G127" s="21"/>
      <c r="H127" s="20"/>
      <c r="I127" s="20"/>
      <c r="J127" s="22"/>
      <c r="K127" s="20"/>
    </row>
    <row r="128" customFormat="false" ht="15" hidden="false" customHeight="false" outlineLevel="0" collapsed="false">
      <c r="A128" s="20"/>
      <c r="B128" s="20"/>
      <c r="C128" s="20"/>
      <c r="D128" s="20"/>
      <c r="E128" s="20"/>
      <c r="F128" s="20"/>
      <c r="G128" s="21"/>
      <c r="H128" s="20"/>
      <c r="I128" s="20"/>
      <c r="J128" s="22"/>
      <c r="K128" s="20"/>
    </row>
    <row r="129" customFormat="false" ht="15" hidden="false" customHeight="false" outlineLevel="0" collapsed="false">
      <c r="A129" s="20"/>
      <c r="B129" s="20"/>
      <c r="C129" s="20"/>
      <c r="D129" s="20"/>
      <c r="E129" s="20"/>
      <c r="F129" s="20"/>
      <c r="G129" s="21"/>
      <c r="H129" s="20"/>
      <c r="I129" s="20"/>
      <c r="J129" s="22"/>
      <c r="K129" s="20"/>
    </row>
    <row r="130" customFormat="false" ht="15" hidden="false" customHeight="false" outlineLevel="0" collapsed="false">
      <c r="A130" s="20"/>
      <c r="B130" s="20"/>
      <c r="C130" s="20"/>
      <c r="D130" s="20"/>
      <c r="E130" s="20"/>
      <c r="F130" s="20"/>
      <c r="G130" s="21"/>
      <c r="H130" s="20"/>
      <c r="I130" s="20"/>
      <c r="J130" s="22"/>
      <c r="K130" s="20"/>
    </row>
    <row r="131" customFormat="false" ht="15" hidden="false" customHeight="false" outlineLevel="0" collapsed="false">
      <c r="A131" s="20"/>
      <c r="B131" s="20"/>
      <c r="C131" s="20"/>
      <c r="D131" s="20"/>
      <c r="E131" s="20"/>
      <c r="F131" s="20"/>
      <c r="G131" s="21"/>
      <c r="H131" s="20"/>
      <c r="I131" s="20"/>
      <c r="J131" s="22"/>
      <c r="K131" s="20"/>
    </row>
    <row r="132" customFormat="false" ht="15" hidden="false" customHeight="false" outlineLevel="0" collapsed="false">
      <c r="A132" s="20"/>
      <c r="B132" s="20"/>
      <c r="C132" s="20"/>
      <c r="D132" s="20"/>
      <c r="E132" s="20"/>
      <c r="F132" s="20"/>
      <c r="G132" s="21"/>
      <c r="H132" s="20"/>
      <c r="I132" s="20"/>
      <c r="J132" s="22"/>
      <c r="K132" s="20"/>
    </row>
    <row r="133" customFormat="false" ht="15" hidden="false" customHeight="false" outlineLevel="0" collapsed="false">
      <c r="A133" s="20"/>
      <c r="B133" s="20"/>
      <c r="C133" s="20"/>
      <c r="D133" s="20"/>
      <c r="E133" s="20"/>
      <c r="F133" s="20"/>
      <c r="G133" s="21"/>
      <c r="H133" s="20"/>
      <c r="I133" s="20"/>
      <c r="J133" s="22"/>
      <c r="K133" s="20"/>
    </row>
    <row r="134" customFormat="false" ht="15" hidden="false" customHeight="false" outlineLevel="0" collapsed="false">
      <c r="A134" s="20"/>
      <c r="B134" s="20"/>
      <c r="C134" s="20"/>
      <c r="D134" s="20"/>
      <c r="E134" s="20"/>
      <c r="F134" s="20"/>
      <c r="G134" s="21"/>
      <c r="H134" s="20"/>
      <c r="I134" s="20"/>
      <c r="J134" s="22"/>
      <c r="K134" s="20"/>
    </row>
    <row r="135" customFormat="false" ht="15" hidden="false" customHeight="false" outlineLevel="0" collapsed="false">
      <c r="A135" s="20"/>
      <c r="B135" s="20"/>
      <c r="C135" s="20"/>
      <c r="D135" s="20"/>
      <c r="E135" s="20"/>
      <c r="F135" s="20"/>
      <c r="G135" s="21"/>
      <c r="H135" s="20"/>
      <c r="I135" s="20"/>
      <c r="J135" s="22"/>
      <c r="K135" s="20"/>
    </row>
    <row r="136" customFormat="false" ht="15" hidden="false" customHeight="false" outlineLevel="0" collapsed="false">
      <c r="A136" s="20"/>
      <c r="B136" s="20"/>
      <c r="C136" s="20"/>
      <c r="D136" s="20"/>
      <c r="E136" s="20"/>
      <c r="F136" s="20"/>
      <c r="G136" s="21"/>
      <c r="H136" s="20"/>
      <c r="I136" s="20"/>
      <c r="J136" s="22"/>
      <c r="K136" s="20"/>
    </row>
    <row r="137" customFormat="false" ht="15" hidden="false" customHeight="false" outlineLevel="0" collapsed="false">
      <c r="A137" s="20"/>
      <c r="B137" s="20"/>
      <c r="C137" s="20"/>
      <c r="D137" s="20"/>
      <c r="E137" s="20"/>
      <c r="F137" s="20"/>
      <c r="G137" s="21"/>
      <c r="H137" s="20"/>
      <c r="I137" s="20"/>
      <c r="J137" s="22"/>
      <c r="K137" s="20"/>
    </row>
    <row r="138" customFormat="false" ht="15" hidden="false" customHeight="false" outlineLevel="0" collapsed="false">
      <c r="A138" s="20"/>
      <c r="B138" s="20"/>
      <c r="C138" s="20"/>
      <c r="D138" s="20"/>
      <c r="E138" s="20"/>
      <c r="F138" s="20"/>
      <c r="G138" s="21"/>
      <c r="H138" s="20"/>
      <c r="I138" s="20"/>
      <c r="J138" s="22"/>
      <c r="K138" s="20"/>
    </row>
    <row r="139" customFormat="false" ht="15" hidden="false" customHeight="false" outlineLevel="0" collapsed="false">
      <c r="A139" s="20"/>
      <c r="B139" s="20"/>
      <c r="C139" s="20"/>
      <c r="D139" s="20"/>
      <c r="E139" s="20"/>
      <c r="F139" s="20"/>
      <c r="G139" s="21"/>
      <c r="H139" s="20"/>
      <c r="I139" s="20"/>
      <c r="J139" s="22"/>
      <c r="K139" s="20"/>
    </row>
    <row r="140" customFormat="false" ht="15" hidden="false" customHeight="false" outlineLevel="0" collapsed="false">
      <c r="A140" s="20"/>
      <c r="B140" s="20"/>
      <c r="C140" s="20"/>
      <c r="D140" s="20"/>
      <c r="E140" s="20"/>
      <c r="F140" s="20"/>
      <c r="G140" s="21"/>
      <c r="H140" s="20"/>
      <c r="I140" s="20"/>
      <c r="J140" s="22"/>
      <c r="K140" s="20"/>
    </row>
    <row r="141" customFormat="false" ht="15" hidden="false" customHeight="false" outlineLevel="0" collapsed="false">
      <c r="A141" s="20"/>
      <c r="B141" s="20"/>
      <c r="C141" s="20"/>
      <c r="D141" s="20"/>
      <c r="E141" s="20"/>
      <c r="F141" s="20"/>
      <c r="G141" s="21"/>
      <c r="H141" s="20"/>
      <c r="I141" s="20"/>
      <c r="J141" s="22"/>
      <c r="K141" s="20"/>
    </row>
    <row r="142" customFormat="false" ht="15" hidden="false" customHeight="false" outlineLevel="0" collapsed="false">
      <c r="A142" s="20"/>
      <c r="B142" s="20"/>
      <c r="C142" s="20"/>
      <c r="D142" s="20"/>
      <c r="E142" s="20"/>
      <c r="F142" s="20"/>
      <c r="G142" s="21"/>
      <c r="H142" s="20"/>
      <c r="I142" s="20"/>
      <c r="J142" s="22"/>
      <c r="K142" s="20"/>
    </row>
    <row r="143" customFormat="false" ht="15" hidden="false" customHeight="false" outlineLevel="0" collapsed="false">
      <c r="A143" s="20"/>
      <c r="B143" s="20"/>
      <c r="C143" s="20"/>
      <c r="D143" s="20"/>
      <c r="E143" s="20"/>
      <c r="F143" s="20"/>
      <c r="G143" s="21"/>
      <c r="H143" s="20"/>
      <c r="I143" s="20"/>
      <c r="J143" s="22"/>
      <c r="K143" s="20"/>
    </row>
    <row r="144" customFormat="false" ht="15" hidden="false" customHeight="false" outlineLevel="0" collapsed="false">
      <c r="A144" s="20"/>
      <c r="B144" s="20"/>
      <c r="C144" s="20"/>
      <c r="D144" s="20"/>
      <c r="E144" s="20"/>
      <c r="F144" s="20"/>
      <c r="G144" s="21"/>
      <c r="H144" s="20"/>
      <c r="I144" s="20"/>
      <c r="J144" s="22"/>
      <c r="K144" s="20"/>
    </row>
    <row r="145" customFormat="false" ht="15" hidden="false" customHeight="false" outlineLevel="0" collapsed="false">
      <c r="A145" s="20"/>
      <c r="B145" s="20"/>
      <c r="C145" s="20"/>
      <c r="D145" s="20"/>
      <c r="E145" s="20"/>
      <c r="F145" s="20"/>
      <c r="G145" s="21"/>
      <c r="H145" s="20"/>
      <c r="I145" s="20"/>
      <c r="J145" s="22"/>
      <c r="K145" s="20"/>
    </row>
    <row r="146" customFormat="false" ht="15" hidden="false" customHeight="false" outlineLevel="0" collapsed="false">
      <c r="A146" s="20"/>
      <c r="B146" s="20"/>
      <c r="C146" s="20"/>
      <c r="D146" s="20"/>
      <c r="E146" s="20"/>
      <c r="F146" s="20"/>
      <c r="G146" s="21"/>
      <c r="H146" s="20"/>
      <c r="I146" s="20"/>
      <c r="J146" s="22"/>
      <c r="K146" s="20"/>
    </row>
    <row r="147" customFormat="false" ht="15" hidden="false" customHeight="false" outlineLevel="0" collapsed="false">
      <c r="A147" s="20"/>
      <c r="B147" s="20"/>
      <c r="C147" s="20"/>
      <c r="D147" s="20"/>
      <c r="E147" s="20"/>
      <c r="F147" s="20"/>
      <c r="G147" s="21"/>
      <c r="H147" s="20"/>
      <c r="I147" s="20"/>
      <c r="J147" s="22"/>
      <c r="K147" s="20"/>
    </row>
    <row r="148" customFormat="false" ht="15" hidden="false" customHeight="false" outlineLevel="0" collapsed="false">
      <c r="A148" s="20"/>
      <c r="B148" s="20"/>
      <c r="C148" s="20"/>
      <c r="D148" s="20"/>
      <c r="E148" s="20"/>
      <c r="F148" s="20"/>
      <c r="G148" s="21"/>
      <c r="H148" s="20"/>
      <c r="I148" s="20"/>
      <c r="J148" s="22"/>
      <c r="K148" s="20"/>
    </row>
    <row r="149" customFormat="false" ht="15" hidden="false" customHeight="false" outlineLevel="0" collapsed="false">
      <c r="A149" s="20"/>
      <c r="B149" s="20"/>
      <c r="C149" s="20"/>
      <c r="D149" s="20"/>
      <c r="E149" s="20"/>
      <c r="F149" s="20"/>
      <c r="G149" s="21"/>
      <c r="H149" s="20"/>
      <c r="I149" s="20"/>
      <c r="J149" s="22"/>
      <c r="K149" s="20"/>
    </row>
    <row r="150" customFormat="false" ht="15" hidden="false" customHeight="false" outlineLevel="0" collapsed="false">
      <c r="A150" s="20"/>
      <c r="B150" s="20"/>
      <c r="C150" s="20"/>
      <c r="D150" s="20"/>
      <c r="E150" s="20"/>
      <c r="F150" s="20"/>
      <c r="G150" s="21"/>
      <c r="H150" s="20"/>
      <c r="I150" s="20"/>
      <c r="J150" s="22"/>
      <c r="K150" s="20"/>
    </row>
    <row r="151" customFormat="false" ht="15" hidden="false" customHeight="false" outlineLevel="0" collapsed="false">
      <c r="A151" s="20"/>
      <c r="B151" s="20"/>
      <c r="C151" s="20"/>
      <c r="D151" s="20"/>
      <c r="E151" s="20"/>
      <c r="F151" s="20"/>
      <c r="G151" s="21"/>
      <c r="H151" s="20"/>
      <c r="I151" s="20"/>
      <c r="J151" s="22"/>
      <c r="K151" s="20"/>
    </row>
    <row r="152" customFormat="false" ht="15" hidden="false" customHeight="false" outlineLevel="0" collapsed="false">
      <c r="A152" s="20"/>
      <c r="B152" s="20"/>
      <c r="C152" s="20"/>
      <c r="D152" s="20"/>
      <c r="E152" s="20"/>
      <c r="F152" s="20"/>
      <c r="G152" s="21"/>
      <c r="H152" s="20"/>
      <c r="I152" s="20"/>
      <c r="J152" s="22"/>
      <c r="K152" s="20"/>
    </row>
    <row r="153" customFormat="false" ht="15" hidden="false" customHeight="false" outlineLevel="0" collapsed="false">
      <c r="A153" s="20"/>
      <c r="B153" s="20"/>
      <c r="C153" s="20"/>
      <c r="D153" s="20"/>
      <c r="E153" s="20"/>
      <c r="F153" s="20"/>
      <c r="G153" s="21"/>
      <c r="H153" s="20"/>
      <c r="I153" s="20"/>
      <c r="J153" s="22"/>
      <c r="K153" s="20"/>
    </row>
    <row r="154" customFormat="false" ht="15" hidden="false" customHeight="false" outlineLevel="0" collapsed="false">
      <c r="A154" s="20"/>
      <c r="B154" s="20"/>
      <c r="C154" s="20"/>
      <c r="D154" s="20"/>
      <c r="E154" s="20"/>
      <c r="F154" s="20"/>
      <c r="G154" s="21"/>
      <c r="H154" s="20"/>
      <c r="I154" s="20"/>
      <c r="J154" s="22"/>
      <c r="K154" s="20"/>
    </row>
    <row r="155" customFormat="false" ht="15" hidden="false" customHeight="false" outlineLevel="0" collapsed="false">
      <c r="A155" s="20"/>
      <c r="B155" s="20"/>
      <c r="C155" s="20"/>
      <c r="D155" s="20"/>
      <c r="E155" s="20"/>
      <c r="F155" s="20"/>
      <c r="G155" s="21"/>
      <c r="H155" s="20"/>
      <c r="I155" s="20"/>
      <c r="J155" s="22"/>
      <c r="K155" s="20"/>
    </row>
    <row r="156" customFormat="false" ht="15" hidden="false" customHeight="false" outlineLevel="0" collapsed="false">
      <c r="A156" s="20"/>
      <c r="B156" s="20"/>
      <c r="C156" s="20"/>
      <c r="D156" s="20"/>
      <c r="E156" s="20"/>
      <c r="F156" s="20"/>
      <c r="G156" s="21"/>
      <c r="H156" s="20"/>
      <c r="I156" s="20"/>
      <c r="J156" s="22"/>
      <c r="K156" s="20"/>
    </row>
    <row r="157" customFormat="false" ht="15" hidden="false" customHeight="false" outlineLevel="0" collapsed="false">
      <c r="A157" s="20"/>
      <c r="B157" s="20"/>
      <c r="C157" s="20"/>
      <c r="D157" s="20"/>
      <c r="E157" s="20"/>
      <c r="F157" s="20"/>
      <c r="G157" s="21"/>
      <c r="H157" s="20"/>
      <c r="I157" s="20"/>
      <c r="J157" s="22"/>
      <c r="K157" s="20"/>
    </row>
    <row r="158" customFormat="false" ht="15" hidden="false" customHeight="false" outlineLevel="0" collapsed="false">
      <c r="A158" s="20"/>
      <c r="B158" s="20"/>
      <c r="C158" s="20"/>
      <c r="D158" s="20"/>
      <c r="E158" s="20"/>
      <c r="F158" s="20"/>
      <c r="G158" s="21"/>
      <c r="H158" s="20"/>
      <c r="I158" s="20"/>
      <c r="J158" s="22"/>
      <c r="K158" s="20"/>
    </row>
    <row r="159" customFormat="false" ht="15" hidden="false" customHeight="false" outlineLevel="0" collapsed="false">
      <c r="A159" s="20"/>
      <c r="B159" s="20"/>
      <c r="C159" s="20"/>
      <c r="D159" s="20"/>
      <c r="E159" s="20"/>
      <c r="F159" s="20"/>
      <c r="G159" s="21"/>
      <c r="H159" s="20"/>
      <c r="I159" s="20"/>
      <c r="J159" s="22"/>
      <c r="K159" s="20"/>
    </row>
    <row r="160" customFormat="false" ht="15" hidden="false" customHeight="false" outlineLevel="0" collapsed="false">
      <c r="A160" s="20"/>
      <c r="B160" s="20"/>
      <c r="C160" s="20"/>
      <c r="D160" s="20"/>
      <c r="E160" s="20"/>
      <c r="F160" s="20"/>
      <c r="G160" s="21"/>
      <c r="H160" s="20"/>
      <c r="I160" s="20"/>
      <c r="J160" s="22"/>
      <c r="K160" s="20"/>
    </row>
    <row r="161" customFormat="false" ht="15" hidden="false" customHeight="false" outlineLevel="0" collapsed="false">
      <c r="A161" s="20"/>
      <c r="B161" s="20"/>
      <c r="C161" s="20"/>
      <c r="D161" s="20"/>
      <c r="E161" s="20"/>
      <c r="F161" s="20"/>
      <c r="G161" s="21"/>
      <c r="H161" s="20"/>
      <c r="I161" s="20"/>
      <c r="J161" s="22"/>
      <c r="K161" s="20"/>
    </row>
    <row r="162" customFormat="false" ht="15" hidden="false" customHeight="false" outlineLevel="0" collapsed="false">
      <c r="A162" s="20"/>
      <c r="B162" s="20"/>
      <c r="C162" s="20"/>
      <c r="D162" s="20"/>
      <c r="E162" s="20"/>
      <c r="F162" s="20"/>
      <c r="G162" s="21"/>
      <c r="H162" s="20"/>
      <c r="I162" s="20"/>
      <c r="J162" s="22"/>
      <c r="K162" s="20"/>
    </row>
    <row r="163" customFormat="false" ht="15" hidden="false" customHeight="false" outlineLevel="0" collapsed="false">
      <c r="A163" s="20"/>
      <c r="B163" s="20"/>
      <c r="C163" s="20"/>
      <c r="D163" s="20"/>
      <c r="E163" s="20"/>
      <c r="F163" s="20"/>
      <c r="G163" s="21"/>
      <c r="H163" s="20"/>
      <c r="I163" s="20"/>
      <c r="J163" s="22"/>
      <c r="K163" s="20"/>
    </row>
    <row r="164" customFormat="false" ht="15" hidden="false" customHeight="false" outlineLevel="0" collapsed="false">
      <c r="A164" s="20"/>
      <c r="B164" s="20"/>
      <c r="C164" s="20"/>
      <c r="D164" s="20"/>
      <c r="E164" s="20"/>
      <c r="F164" s="20"/>
      <c r="G164" s="21"/>
      <c r="H164" s="20"/>
      <c r="I164" s="20"/>
      <c r="J164" s="22"/>
      <c r="K164" s="20"/>
    </row>
    <row r="165" customFormat="false" ht="15" hidden="false" customHeight="false" outlineLevel="0" collapsed="false">
      <c r="A165" s="20"/>
      <c r="B165" s="20"/>
      <c r="C165" s="20"/>
      <c r="D165" s="20"/>
      <c r="E165" s="20"/>
      <c r="F165" s="20"/>
      <c r="G165" s="21"/>
      <c r="H165" s="20"/>
      <c r="I165" s="20"/>
      <c r="J165" s="22"/>
      <c r="K165" s="20"/>
    </row>
    <row r="166" customFormat="false" ht="15" hidden="false" customHeight="false" outlineLevel="0" collapsed="false">
      <c r="A166" s="20"/>
      <c r="B166" s="20"/>
      <c r="C166" s="20"/>
      <c r="D166" s="20"/>
      <c r="E166" s="20"/>
      <c r="F166" s="20"/>
      <c r="G166" s="21"/>
      <c r="H166" s="20"/>
      <c r="I166" s="20"/>
      <c r="J166" s="22"/>
      <c r="K166" s="20"/>
    </row>
    <row r="167" customFormat="false" ht="15" hidden="false" customHeight="false" outlineLevel="0" collapsed="false">
      <c r="A167" s="20"/>
      <c r="B167" s="20"/>
      <c r="C167" s="20"/>
      <c r="D167" s="20"/>
      <c r="E167" s="20"/>
      <c r="F167" s="20"/>
      <c r="G167" s="21"/>
      <c r="H167" s="20"/>
      <c r="I167" s="20"/>
      <c r="J167" s="22"/>
      <c r="K167" s="20"/>
    </row>
    <row r="168" customFormat="false" ht="15" hidden="false" customHeight="false" outlineLevel="0" collapsed="false">
      <c r="A168" s="20"/>
      <c r="B168" s="20"/>
      <c r="C168" s="20"/>
      <c r="D168" s="20"/>
      <c r="E168" s="20"/>
      <c r="F168" s="20"/>
      <c r="G168" s="21"/>
      <c r="H168" s="20"/>
      <c r="I168" s="20"/>
      <c r="J168" s="22"/>
      <c r="K168" s="20"/>
    </row>
    <row r="169" customFormat="false" ht="15" hidden="false" customHeight="false" outlineLevel="0" collapsed="false">
      <c r="A169" s="20"/>
      <c r="B169" s="20"/>
      <c r="C169" s="20"/>
      <c r="D169" s="20"/>
      <c r="E169" s="20"/>
      <c r="F169" s="20"/>
      <c r="G169" s="21"/>
      <c r="H169" s="20"/>
      <c r="I169" s="20"/>
      <c r="J169" s="22"/>
      <c r="K169" s="20"/>
    </row>
    <row r="170" customFormat="false" ht="15" hidden="false" customHeight="false" outlineLevel="0" collapsed="false">
      <c r="A170" s="20"/>
      <c r="B170" s="20"/>
      <c r="C170" s="20"/>
      <c r="D170" s="20"/>
      <c r="E170" s="20"/>
      <c r="F170" s="20"/>
      <c r="G170" s="21"/>
      <c r="H170" s="20"/>
      <c r="I170" s="20"/>
      <c r="J170" s="22"/>
      <c r="K170" s="20"/>
    </row>
    <row r="171" customFormat="false" ht="15" hidden="false" customHeight="false" outlineLevel="0" collapsed="false">
      <c r="A171" s="20"/>
      <c r="B171" s="20"/>
      <c r="C171" s="20"/>
      <c r="D171" s="20"/>
      <c r="E171" s="20"/>
      <c r="F171" s="20"/>
      <c r="G171" s="21"/>
      <c r="H171" s="20"/>
      <c r="I171" s="20"/>
      <c r="J171" s="22"/>
      <c r="K171" s="20"/>
    </row>
    <row r="172" customFormat="false" ht="15" hidden="false" customHeight="false" outlineLevel="0" collapsed="false">
      <c r="A172" s="20"/>
      <c r="B172" s="20"/>
      <c r="C172" s="20"/>
      <c r="D172" s="20"/>
      <c r="E172" s="20"/>
      <c r="F172" s="20"/>
      <c r="G172" s="21"/>
      <c r="H172" s="20"/>
      <c r="I172" s="20"/>
      <c r="J172" s="22"/>
      <c r="K172" s="20"/>
    </row>
    <row r="173" customFormat="false" ht="15" hidden="false" customHeight="false" outlineLevel="0" collapsed="false">
      <c r="A173" s="20"/>
      <c r="B173" s="20"/>
      <c r="C173" s="20"/>
      <c r="D173" s="20"/>
      <c r="E173" s="20"/>
      <c r="F173" s="20"/>
      <c r="G173" s="21"/>
      <c r="H173" s="20"/>
      <c r="I173" s="20"/>
      <c r="J173" s="22"/>
      <c r="K173" s="20"/>
    </row>
    <row r="174" customFormat="false" ht="15" hidden="false" customHeight="false" outlineLevel="0" collapsed="false">
      <c r="A174" s="20"/>
      <c r="B174" s="20"/>
      <c r="C174" s="20"/>
      <c r="D174" s="20"/>
      <c r="E174" s="20"/>
      <c r="F174" s="20"/>
      <c r="G174" s="21"/>
      <c r="H174" s="20"/>
      <c r="I174" s="20"/>
      <c r="J174" s="22"/>
      <c r="K174" s="20"/>
    </row>
    <row r="175" customFormat="false" ht="15" hidden="false" customHeight="false" outlineLevel="0" collapsed="false">
      <c r="A175" s="20"/>
      <c r="B175" s="20"/>
      <c r="C175" s="20"/>
      <c r="D175" s="20"/>
      <c r="E175" s="20"/>
      <c r="F175" s="20"/>
      <c r="G175" s="21"/>
      <c r="H175" s="20"/>
      <c r="I175" s="20"/>
      <c r="J175" s="22"/>
      <c r="K175" s="20"/>
    </row>
    <row r="176" customFormat="false" ht="15" hidden="false" customHeight="false" outlineLevel="0" collapsed="false">
      <c r="A176" s="20"/>
      <c r="B176" s="20"/>
      <c r="C176" s="20"/>
      <c r="D176" s="20"/>
      <c r="E176" s="20"/>
      <c r="F176" s="20"/>
      <c r="G176" s="21"/>
      <c r="H176" s="20"/>
      <c r="I176" s="20"/>
      <c r="J176" s="22"/>
      <c r="K176" s="20"/>
    </row>
    <row r="177" customFormat="false" ht="15" hidden="false" customHeight="false" outlineLevel="0" collapsed="false">
      <c r="A177" s="20"/>
      <c r="B177" s="20"/>
      <c r="C177" s="20"/>
      <c r="D177" s="20"/>
      <c r="E177" s="20"/>
      <c r="F177" s="20"/>
      <c r="G177" s="21"/>
      <c r="H177" s="20"/>
      <c r="I177" s="20"/>
      <c r="J177" s="22"/>
      <c r="K177" s="20"/>
    </row>
    <row r="178" customFormat="false" ht="15" hidden="false" customHeight="false" outlineLevel="0" collapsed="false">
      <c r="A178" s="20"/>
      <c r="B178" s="20"/>
      <c r="C178" s="20"/>
      <c r="D178" s="20"/>
      <c r="E178" s="20"/>
      <c r="F178" s="20"/>
      <c r="G178" s="21"/>
      <c r="H178" s="20"/>
      <c r="I178" s="20"/>
      <c r="J178" s="22"/>
      <c r="K178" s="20"/>
    </row>
    <row r="179" customFormat="false" ht="15" hidden="false" customHeight="false" outlineLevel="0" collapsed="false">
      <c r="A179" s="20"/>
      <c r="B179" s="20"/>
      <c r="C179" s="20"/>
      <c r="D179" s="20"/>
      <c r="E179" s="20"/>
      <c r="F179" s="20"/>
      <c r="G179" s="21"/>
      <c r="H179" s="20"/>
      <c r="I179" s="20"/>
      <c r="J179" s="22"/>
      <c r="K179" s="20"/>
    </row>
    <row r="180" customFormat="false" ht="15" hidden="false" customHeight="false" outlineLevel="0" collapsed="false">
      <c r="A180" s="20"/>
      <c r="B180" s="20"/>
      <c r="C180" s="20"/>
      <c r="D180" s="20"/>
      <c r="E180" s="20"/>
      <c r="F180" s="20"/>
      <c r="G180" s="21"/>
      <c r="H180" s="20"/>
      <c r="I180" s="20"/>
      <c r="J180" s="22"/>
      <c r="K180" s="20"/>
    </row>
    <row r="181" customFormat="false" ht="15" hidden="false" customHeight="false" outlineLevel="0" collapsed="false">
      <c r="A181" s="20"/>
      <c r="B181" s="20"/>
      <c r="C181" s="20"/>
      <c r="D181" s="20"/>
      <c r="E181" s="20"/>
      <c r="F181" s="20"/>
      <c r="G181" s="21"/>
      <c r="H181" s="20"/>
      <c r="I181" s="20"/>
      <c r="J181" s="22"/>
      <c r="K181" s="20"/>
    </row>
    <row r="182" customFormat="false" ht="15" hidden="false" customHeight="false" outlineLevel="0" collapsed="false">
      <c r="A182" s="20"/>
      <c r="B182" s="20"/>
      <c r="C182" s="20"/>
      <c r="D182" s="20"/>
      <c r="E182" s="20"/>
      <c r="F182" s="20"/>
      <c r="G182" s="21"/>
      <c r="H182" s="20"/>
      <c r="I182" s="20"/>
      <c r="J182" s="22"/>
      <c r="K182" s="20"/>
    </row>
    <row r="183" customFormat="false" ht="15" hidden="false" customHeight="false" outlineLevel="0" collapsed="false">
      <c r="A183" s="20"/>
      <c r="B183" s="20"/>
      <c r="C183" s="20"/>
      <c r="D183" s="20"/>
      <c r="E183" s="20"/>
      <c r="F183" s="20"/>
      <c r="G183" s="21"/>
      <c r="H183" s="20"/>
      <c r="I183" s="20"/>
      <c r="J183" s="22"/>
      <c r="K183" s="20"/>
    </row>
    <row r="184" customFormat="false" ht="15" hidden="false" customHeight="false" outlineLevel="0" collapsed="false">
      <c r="A184" s="20"/>
      <c r="B184" s="20"/>
      <c r="C184" s="20"/>
      <c r="D184" s="20"/>
      <c r="E184" s="20"/>
      <c r="F184" s="20"/>
      <c r="G184" s="21"/>
      <c r="H184" s="20"/>
      <c r="I184" s="20"/>
      <c r="J184" s="22"/>
      <c r="K184" s="20"/>
    </row>
    <row r="185" customFormat="false" ht="15" hidden="false" customHeight="false" outlineLevel="0" collapsed="false">
      <c r="A185" s="20"/>
      <c r="B185" s="20"/>
      <c r="C185" s="20"/>
      <c r="D185" s="20"/>
      <c r="E185" s="20"/>
      <c r="F185" s="20"/>
      <c r="G185" s="21"/>
      <c r="H185" s="20"/>
      <c r="I185" s="20"/>
      <c r="J185" s="22"/>
      <c r="K185" s="20"/>
    </row>
    <row r="186" customFormat="false" ht="15" hidden="false" customHeight="false" outlineLevel="0" collapsed="false">
      <c r="A186" s="20"/>
      <c r="B186" s="20"/>
      <c r="C186" s="20"/>
      <c r="D186" s="20"/>
      <c r="E186" s="20"/>
      <c r="F186" s="20"/>
      <c r="G186" s="21"/>
      <c r="H186" s="20"/>
      <c r="I186" s="20"/>
      <c r="J186" s="22"/>
      <c r="K186" s="20"/>
    </row>
    <row r="187" customFormat="false" ht="15" hidden="false" customHeight="false" outlineLevel="0" collapsed="false">
      <c r="A187" s="20"/>
      <c r="B187" s="20"/>
      <c r="C187" s="20"/>
      <c r="D187" s="20"/>
      <c r="E187" s="20"/>
      <c r="F187" s="20"/>
      <c r="G187" s="21"/>
      <c r="H187" s="20"/>
      <c r="I187" s="20"/>
      <c r="J187" s="22"/>
      <c r="K187" s="20"/>
    </row>
    <row r="188" customFormat="false" ht="15" hidden="false" customHeight="false" outlineLevel="0" collapsed="false">
      <c r="A188" s="20"/>
      <c r="B188" s="20"/>
      <c r="C188" s="20"/>
      <c r="D188" s="20"/>
      <c r="E188" s="20"/>
      <c r="F188" s="20"/>
      <c r="G188" s="21"/>
      <c r="H188" s="20"/>
      <c r="I188" s="20"/>
      <c r="J188" s="22"/>
      <c r="K188" s="20"/>
    </row>
    <row r="189" customFormat="false" ht="15" hidden="false" customHeight="false" outlineLevel="0" collapsed="false">
      <c r="A189" s="20"/>
      <c r="B189" s="20"/>
      <c r="C189" s="20"/>
      <c r="D189" s="20"/>
      <c r="E189" s="20"/>
      <c r="F189" s="20"/>
      <c r="G189" s="21"/>
      <c r="H189" s="20"/>
      <c r="I189" s="20"/>
      <c r="J189" s="22"/>
      <c r="K189" s="20"/>
    </row>
    <row r="190" customFormat="false" ht="15" hidden="false" customHeight="false" outlineLevel="0" collapsed="false">
      <c r="A190" s="20"/>
      <c r="B190" s="20"/>
      <c r="C190" s="20"/>
      <c r="D190" s="20"/>
      <c r="E190" s="20"/>
      <c r="F190" s="20"/>
      <c r="G190" s="21"/>
      <c r="H190" s="20"/>
      <c r="I190" s="20"/>
      <c r="J190" s="22"/>
      <c r="K190" s="20"/>
    </row>
    <row r="191" customFormat="false" ht="15" hidden="false" customHeight="false" outlineLevel="0" collapsed="false">
      <c r="A191" s="20"/>
      <c r="B191" s="20"/>
      <c r="C191" s="20"/>
      <c r="D191" s="20"/>
      <c r="E191" s="20"/>
      <c r="F191" s="20"/>
      <c r="G191" s="21"/>
      <c r="H191" s="20"/>
      <c r="I191" s="20"/>
      <c r="J191" s="22"/>
      <c r="K191" s="20"/>
    </row>
    <row r="192" customFormat="false" ht="15" hidden="false" customHeight="false" outlineLevel="0" collapsed="false">
      <c r="A192" s="20"/>
      <c r="B192" s="20"/>
      <c r="C192" s="20"/>
      <c r="D192" s="20"/>
      <c r="E192" s="20"/>
      <c r="F192" s="20"/>
      <c r="G192" s="21"/>
      <c r="H192" s="20"/>
      <c r="I192" s="20"/>
      <c r="J192" s="22"/>
      <c r="K192" s="20"/>
    </row>
    <row r="193" customFormat="false" ht="15" hidden="false" customHeight="false" outlineLevel="0" collapsed="false">
      <c r="A193" s="20"/>
      <c r="B193" s="20"/>
      <c r="C193" s="20"/>
      <c r="D193" s="20"/>
      <c r="E193" s="20"/>
      <c r="F193" s="20"/>
      <c r="G193" s="21"/>
      <c r="H193" s="20"/>
      <c r="I193" s="20"/>
      <c r="J193" s="22"/>
      <c r="K193" s="20"/>
    </row>
    <row r="194" customFormat="false" ht="15" hidden="false" customHeight="false" outlineLevel="0" collapsed="false">
      <c r="A194" s="20"/>
      <c r="B194" s="20"/>
      <c r="C194" s="20"/>
      <c r="D194" s="20"/>
      <c r="E194" s="20"/>
      <c r="F194" s="20"/>
      <c r="G194" s="21"/>
      <c r="H194" s="20"/>
      <c r="I194" s="20"/>
      <c r="J194" s="22"/>
      <c r="K194" s="20"/>
    </row>
    <row r="195" customFormat="false" ht="15" hidden="false" customHeight="false" outlineLevel="0" collapsed="false">
      <c r="A195" s="20"/>
      <c r="B195" s="20"/>
      <c r="C195" s="20"/>
      <c r="D195" s="20"/>
      <c r="E195" s="20"/>
      <c r="F195" s="20"/>
      <c r="G195" s="21"/>
      <c r="H195" s="20"/>
      <c r="I195" s="20"/>
      <c r="J195" s="22"/>
      <c r="K195" s="20"/>
    </row>
    <row r="196" customFormat="false" ht="15" hidden="false" customHeight="false" outlineLevel="0" collapsed="false">
      <c r="A196" s="20"/>
      <c r="B196" s="20"/>
      <c r="C196" s="20"/>
      <c r="D196" s="20"/>
      <c r="E196" s="20"/>
      <c r="F196" s="20"/>
      <c r="G196" s="21"/>
      <c r="H196" s="20"/>
      <c r="I196" s="20"/>
      <c r="J196" s="22"/>
      <c r="K196" s="20"/>
    </row>
    <row r="197" customFormat="false" ht="15" hidden="false" customHeight="false" outlineLevel="0" collapsed="false">
      <c r="A197" s="20"/>
      <c r="B197" s="20"/>
      <c r="C197" s="20"/>
      <c r="D197" s="20"/>
      <c r="E197" s="20"/>
      <c r="F197" s="20"/>
      <c r="G197" s="21"/>
      <c r="H197" s="20"/>
      <c r="I197" s="20"/>
      <c r="J197" s="22"/>
      <c r="K197" s="20"/>
    </row>
    <row r="198" customFormat="false" ht="15" hidden="false" customHeight="false" outlineLevel="0" collapsed="false">
      <c r="A198" s="20"/>
      <c r="B198" s="20"/>
      <c r="C198" s="20"/>
      <c r="D198" s="20"/>
      <c r="E198" s="20"/>
      <c r="F198" s="20"/>
      <c r="G198" s="21"/>
      <c r="H198" s="20"/>
      <c r="I198" s="20"/>
      <c r="J198" s="22"/>
      <c r="K198" s="20"/>
    </row>
    <row r="199" customFormat="false" ht="15" hidden="false" customHeight="false" outlineLevel="0" collapsed="false">
      <c r="A199" s="20"/>
      <c r="B199" s="20"/>
      <c r="C199" s="20"/>
      <c r="D199" s="20"/>
      <c r="E199" s="20"/>
      <c r="F199" s="20"/>
      <c r="G199" s="21"/>
      <c r="H199" s="20"/>
      <c r="I199" s="20"/>
      <c r="J199" s="22"/>
      <c r="K199" s="20"/>
    </row>
    <row r="200" customFormat="false" ht="15" hidden="false" customHeight="false" outlineLevel="0" collapsed="false">
      <c r="A200" s="20"/>
      <c r="B200" s="20"/>
      <c r="C200" s="20"/>
      <c r="D200" s="20"/>
      <c r="E200" s="20"/>
      <c r="F200" s="20"/>
      <c r="G200" s="21"/>
      <c r="H200" s="20"/>
      <c r="I200" s="20"/>
      <c r="J200" s="22"/>
      <c r="K200" s="20"/>
    </row>
    <row r="201" customFormat="false" ht="15" hidden="false" customHeight="false" outlineLevel="0" collapsed="false">
      <c r="A201" s="20"/>
      <c r="B201" s="20"/>
      <c r="C201" s="20"/>
      <c r="D201" s="20"/>
      <c r="E201" s="20"/>
      <c r="F201" s="20"/>
      <c r="G201" s="21"/>
      <c r="H201" s="20"/>
      <c r="I201" s="20"/>
      <c r="J201" s="22"/>
      <c r="K201" s="20"/>
    </row>
    <row r="202" customFormat="false" ht="15" hidden="false" customHeight="false" outlineLevel="0" collapsed="false">
      <c r="A202" s="20"/>
      <c r="B202" s="20"/>
      <c r="C202" s="20"/>
      <c r="D202" s="20"/>
      <c r="E202" s="20"/>
      <c r="F202" s="20"/>
      <c r="G202" s="21"/>
      <c r="H202" s="20"/>
      <c r="I202" s="20"/>
      <c r="J202" s="22"/>
      <c r="K202" s="20"/>
    </row>
    <row r="203" customFormat="false" ht="15" hidden="false" customHeight="false" outlineLevel="0" collapsed="false">
      <c r="A203" s="20"/>
      <c r="B203" s="20"/>
      <c r="C203" s="20"/>
      <c r="D203" s="20"/>
      <c r="E203" s="20"/>
      <c r="F203" s="20"/>
      <c r="G203" s="21"/>
      <c r="H203" s="20"/>
      <c r="I203" s="20"/>
      <c r="J203" s="22"/>
      <c r="K203" s="20"/>
    </row>
    <row r="204" customFormat="false" ht="15" hidden="false" customHeight="false" outlineLevel="0" collapsed="false">
      <c r="A204" s="20"/>
      <c r="B204" s="20"/>
      <c r="C204" s="20"/>
      <c r="D204" s="20"/>
      <c r="E204" s="20"/>
      <c r="F204" s="20"/>
      <c r="G204" s="21"/>
      <c r="H204" s="20"/>
      <c r="I204" s="20"/>
      <c r="J204" s="22"/>
      <c r="K204" s="20"/>
    </row>
    <row r="205" customFormat="false" ht="15" hidden="false" customHeight="false" outlineLevel="0" collapsed="false">
      <c r="A205" s="20"/>
      <c r="B205" s="20"/>
      <c r="C205" s="20"/>
      <c r="D205" s="20"/>
      <c r="E205" s="20"/>
      <c r="F205" s="20"/>
      <c r="G205" s="21"/>
      <c r="H205" s="20"/>
      <c r="I205" s="20"/>
      <c r="J205" s="22"/>
      <c r="K205" s="20"/>
    </row>
    <row r="206" customFormat="false" ht="15" hidden="false" customHeight="false" outlineLevel="0" collapsed="false">
      <c r="A206" s="20"/>
      <c r="B206" s="20"/>
      <c r="C206" s="20"/>
      <c r="D206" s="20"/>
      <c r="E206" s="20"/>
      <c r="F206" s="20"/>
      <c r="G206" s="21"/>
      <c r="H206" s="20"/>
      <c r="I206" s="20"/>
      <c r="J206" s="22"/>
      <c r="K206" s="20"/>
    </row>
    <row r="207" customFormat="false" ht="15" hidden="false" customHeight="false" outlineLevel="0" collapsed="false">
      <c r="A207" s="20"/>
      <c r="B207" s="20"/>
      <c r="C207" s="20"/>
      <c r="D207" s="20"/>
      <c r="E207" s="20"/>
      <c r="F207" s="20"/>
      <c r="G207" s="21"/>
      <c r="H207" s="20"/>
      <c r="I207" s="20"/>
      <c r="J207" s="22"/>
      <c r="K207" s="20"/>
    </row>
    <row r="208" customFormat="false" ht="15" hidden="false" customHeight="false" outlineLevel="0" collapsed="false">
      <c r="A208" s="20"/>
      <c r="B208" s="20"/>
      <c r="C208" s="20"/>
      <c r="D208" s="20"/>
      <c r="E208" s="20"/>
      <c r="F208" s="20"/>
      <c r="G208" s="21"/>
      <c r="H208" s="20"/>
      <c r="I208" s="20"/>
      <c r="J208" s="22"/>
      <c r="K208" s="20"/>
    </row>
    <row r="209" customFormat="false" ht="15" hidden="false" customHeight="false" outlineLevel="0" collapsed="false">
      <c r="A209" s="20"/>
      <c r="B209" s="20"/>
      <c r="C209" s="20"/>
      <c r="D209" s="20"/>
      <c r="E209" s="20"/>
      <c r="F209" s="20"/>
      <c r="G209" s="21"/>
      <c r="H209" s="20"/>
      <c r="I209" s="20"/>
      <c r="J209" s="22"/>
      <c r="K209" s="20"/>
    </row>
    <row r="210" customFormat="false" ht="15" hidden="false" customHeight="false" outlineLevel="0" collapsed="false">
      <c r="A210" s="20"/>
      <c r="B210" s="20"/>
      <c r="C210" s="20"/>
      <c r="D210" s="20"/>
      <c r="E210" s="20"/>
      <c r="F210" s="20"/>
      <c r="G210" s="21"/>
      <c r="H210" s="20"/>
      <c r="I210" s="20"/>
      <c r="J210" s="22"/>
      <c r="K210" s="20"/>
    </row>
    <row r="211" customFormat="false" ht="15" hidden="false" customHeight="false" outlineLevel="0" collapsed="false">
      <c r="A211" s="20"/>
      <c r="B211" s="20"/>
      <c r="C211" s="20"/>
      <c r="D211" s="20"/>
      <c r="E211" s="20"/>
      <c r="F211" s="20"/>
      <c r="G211" s="21"/>
      <c r="H211" s="20"/>
      <c r="I211" s="20"/>
      <c r="J211" s="22"/>
      <c r="K211" s="20"/>
    </row>
    <row r="212" customFormat="false" ht="15" hidden="false" customHeight="false" outlineLevel="0" collapsed="false">
      <c r="A212" s="20"/>
      <c r="B212" s="20"/>
      <c r="C212" s="20"/>
      <c r="D212" s="20"/>
      <c r="E212" s="20"/>
      <c r="F212" s="20"/>
      <c r="G212" s="21"/>
      <c r="H212" s="20"/>
      <c r="I212" s="20"/>
      <c r="J212" s="22"/>
      <c r="K212" s="20"/>
    </row>
    <row r="213" customFormat="false" ht="15" hidden="false" customHeight="false" outlineLevel="0" collapsed="false">
      <c r="A213" s="20"/>
      <c r="B213" s="20"/>
      <c r="C213" s="20"/>
      <c r="D213" s="20"/>
      <c r="E213" s="20"/>
      <c r="F213" s="20"/>
      <c r="G213" s="21"/>
      <c r="H213" s="20"/>
      <c r="I213" s="20"/>
      <c r="J213" s="22"/>
      <c r="K213" s="20"/>
    </row>
    <row r="214" customFormat="false" ht="15" hidden="false" customHeight="false" outlineLevel="0" collapsed="false">
      <c r="A214" s="20"/>
      <c r="B214" s="20"/>
      <c r="C214" s="20"/>
      <c r="D214" s="20"/>
      <c r="E214" s="20"/>
      <c r="F214" s="20"/>
      <c r="G214" s="21"/>
      <c r="H214" s="20"/>
      <c r="I214" s="20"/>
      <c r="J214" s="22"/>
      <c r="K214" s="20"/>
    </row>
    <row r="215" customFormat="false" ht="15" hidden="false" customHeight="false" outlineLevel="0" collapsed="false">
      <c r="A215" s="20"/>
      <c r="B215" s="20"/>
      <c r="C215" s="20"/>
      <c r="D215" s="20"/>
      <c r="E215" s="20"/>
      <c r="F215" s="20"/>
      <c r="G215" s="21"/>
      <c r="H215" s="20"/>
      <c r="I215" s="20"/>
      <c r="J215" s="22"/>
      <c r="K215" s="20"/>
    </row>
    <row r="216" customFormat="false" ht="15" hidden="false" customHeight="false" outlineLevel="0" collapsed="false">
      <c r="A216" s="20"/>
      <c r="B216" s="20"/>
      <c r="C216" s="20"/>
      <c r="D216" s="20"/>
      <c r="E216" s="20"/>
      <c r="F216" s="20"/>
      <c r="G216" s="21"/>
      <c r="H216" s="20"/>
      <c r="I216" s="20"/>
      <c r="J216" s="22"/>
      <c r="K216" s="20"/>
    </row>
    <row r="217" customFormat="false" ht="15" hidden="false" customHeight="false" outlineLevel="0" collapsed="false">
      <c r="A217" s="20"/>
      <c r="B217" s="20"/>
      <c r="C217" s="20"/>
      <c r="D217" s="20"/>
      <c r="E217" s="20"/>
      <c r="F217" s="20"/>
      <c r="G217" s="21"/>
      <c r="H217" s="20"/>
      <c r="I217" s="20"/>
      <c r="J217" s="22"/>
      <c r="K217" s="20"/>
    </row>
    <row r="218" customFormat="false" ht="15" hidden="false" customHeight="false" outlineLevel="0" collapsed="false">
      <c r="A218" s="20"/>
      <c r="B218" s="20"/>
      <c r="C218" s="20"/>
      <c r="D218" s="20"/>
      <c r="E218" s="20"/>
      <c r="F218" s="20"/>
      <c r="G218" s="21"/>
      <c r="H218" s="20"/>
      <c r="I218" s="20"/>
      <c r="J218" s="22"/>
      <c r="K218" s="20"/>
    </row>
    <row r="219" customFormat="false" ht="15" hidden="false" customHeight="false" outlineLevel="0" collapsed="false">
      <c r="A219" s="20"/>
      <c r="B219" s="20"/>
      <c r="C219" s="20"/>
      <c r="D219" s="20"/>
      <c r="E219" s="20"/>
      <c r="F219" s="20"/>
      <c r="G219" s="21"/>
      <c r="H219" s="20"/>
      <c r="I219" s="20"/>
      <c r="J219" s="22"/>
      <c r="K219" s="20"/>
    </row>
    <row r="220" customFormat="false" ht="15" hidden="false" customHeight="false" outlineLevel="0" collapsed="false">
      <c r="A220" s="20"/>
      <c r="B220" s="20"/>
      <c r="C220" s="20"/>
      <c r="D220" s="20"/>
      <c r="E220" s="20"/>
      <c r="F220" s="20"/>
      <c r="G220" s="21"/>
      <c r="H220" s="20"/>
      <c r="I220" s="20"/>
      <c r="J220" s="22"/>
      <c r="K220" s="20"/>
    </row>
    <row r="221" customFormat="false" ht="15" hidden="false" customHeight="false" outlineLevel="0" collapsed="false">
      <c r="A221" s="20"/>
      <c r="B221" s="20"/>
      <c r="C221" s="20"/>
      <c r="D221" s="20"/>
      <c r="E221" s="20"/>
      <c r="F221" s="20"/>
      <c r="G221" s="21"/>
      <c r="H221" s="20"/>
      <c r="I221" s="20"/>
      <c r="J221" s="22"/>
      <c r="K221" s="20"/>
    </row>
    <row r="222" customFormat="false" ht="15" hidden="false" customHeight="false" outlineLevel="0" collapsed="false">
      <c r="A222" s="20"/>
      <c r="B222" s="20"/>
      <c r="C222" s="20"/>
      <c r="D222" s="20"/>
      <c r="E222" s="20"/>
      <c r="F222" s="20"/>
      <c r="G222" s="21"/>
      <c r="H222" s="20"/>
      <c r="I222" s="20"/>
      <c r="J222" s="22"/>
      <c r="K222" s="20"/>
    </row>
    <row r="223" customFormat="false" ht="15" hidden="false" customHeight="false" outlineLevel="0" collapsed="false">
      <c r="A223" s="20"/>
      <c r="B223" s="20"/>
      <c r="C223" s="20"/>
      <c r="D223" s="20"/>
      <c r="E223" s="20"/>
      <c r="F223" s="20"/>
      <c r="G223" s="21"/>
      <c r="H223" s="20"/>
      <c r="I223" s="20"/>
      <c r="J223" s="22"/>
      <c r="K223" s="20"/>
    </row>
    <row r="224" customFormat="false" ht="15" hidden="false" customHeight="false" outlineLevel="0" collapsed="false">
      <c r="A224" s="20"/>
      <c r="B224" s="20"/>
      <c r="C224" s="20"/>
      <c r="D224" s="20"/>
      <c r="E224" s="20"/>
      <c r="F224" s="20"/>
      <c r="G224" s="21"/>
      <c r="H224" s="20"/>
      <c r="I224" s="20"/>
      <c r="J224" s="22"/>
      <c r="K224" s="20"/>
    </row>
    <row r="225" customFormat="false" ht="15" hidden="false" customHeight="false" outlineLevel="0" collapsed="false">
      <c r="A225" s="20"/>
      <c r="B225" s="20"/>
      <c r="C225" s="20"/>
      <c r="D225" s="20"/>
      <c r="E225" s="20"/>
      <c r="F225" s="20"/>
      <c r="G225" s="21"/>
      <c r="H225" s="20"/>
      <c r="I225" s="20"/>
      <c r="J225" s="22"/>
      <c r="K225" s="20"/>
    </row>
    <row r="226" customFormat="false" ht="15" hidden="false" customHeight="false" outlineLevel="0" collapsed="false">
      <c r="A226" s="20"/>
      <c r="B226" s="20"/>
      <c r="C226" s="20"/>
      <c r="D226" s="20"/>
      <c r="E226" s="20"/>
      <c r="F226" s="20"/>
      <c r="G226" s="21"/>
      <c r="H226" s="20"/>
      <c r="I226" s="20"/>
      <c r="J226" s="22"/>
      <c r="K226" s="20"/>
    </row>
    <row r="227" customFormat="false" ht="15" hidden="false" customHeight="false" outlineLevel="0" collapsed="false">
      <c r="A227" s="20"/>
      <c r="B227" s="20"/>
      <c r="C227" s="20"/>
      <c r="D227" s="20"/>
      <c r="E227" s="20"/>
      <c r="F227" s="20"/>
      <c r="G227" s="21"/>
      <c r="H227" s="20"/>
      <c r="I227" s="20"/>
      <c r="J227" s="22"/>
      <c r="K227" s="20"/>
    </row>
    <row r="228" customFormat="false" ht="15" hidden="false" customHeight="false" outlineLevel="0" collapsed="false">
      <c r="A228" s="20"/>
      <c r="B228" s="20"/>
      <c r="C228" s="20"/>
      <c r="D228" s="20"/>
      <c r="E228" s="20"/>
      <c r="F228" s="20"/>
      <c r="G228" s="21"/>
      <c r="H228" s="20"/>
      <c r="I228" s="20"/>
      <c r="J228" s="22"/>
      <c r="K228" s="20"/>
    </row>
    <row r="229" customFormat="false" ht="15" hidden="false" customHeight="false" outlineLevel="0" collapsed="false">
      <c r="A229" s="20"/>
      <c r="B229" s="20"/>
      <c r="C229" s="20"/>
      <c r="D229" s="20"/>
      <c r="E229" s="20"/>
      <c r="F229" s="20"/>
      <c r="G229" s="21"/>
      <c r="H229" s="20"/>
      <c r="I229" s="20"/>
      <c r="J229" s="22"/>
      <c r="K229" s="20"/>
    </row>
    <row r="230" customFormat="false" ht="15" hidden="false" customHeight="false" outlineLevel="0" collapsed="false">
      <c r="A230" s="20"/>
      <c r="B230" s="20"/>
      <c r="C230" s="20"/>
      <c r="D230" s="20"/>
      <c r="E230" s="20"/>
      <c r="F230" s="20"/>
      <c r="G230" s="21"/>
      <c r="H230" s="20"/>
      <c r="I230" s="20"/>
      <c r="J230" s="22"/>
      <c r="K230" s="20"/>
    </row>
    <row r="231" customFormat="false" ht="15" hidden="false" customHeight="false" outlineLevel="0" collapsed="false">
      <c r="A231" s="20"/>
      <c r="B231" s="20"/>
      <c r="C231" s="20"/>
      <c r="D231" s="20"/>
      <c r="E231" s="20"/>
      <c r="F231" s="20"/>
      <c r="G231" s="21"/>
      <c r="H231" s="20"/>
      <c r="I231" s="20"/>
      <c r="J231" s="22"/>
      <c r="K231" s="20"/>
    </row>
    <row r="232" customFormat="false" ht="15" hidden="false" customHeight="false" outlineLevel="0" collapsed="false">
      <c r="A232" s="20"/>
      <c r="B232" s="20"/>
      <c r="C232" s="20"/>
      <c r="D232" s="20"/>
      <c r="E232" s="20"/>
      <c r="F232" s="20"/>
      <c r="G232" s="21"/>
      <c r="H232" s="20"/>
      <c r="I232" s="20"/>
      <c r="J232" s="22"/>
      <c r="K232" s="20"/>
    </row>
    <row r="233" customFormat="false" ht="15" hidden="false" customHeight="false" outlineLevel="0" collapsed="false">
      <c r="A233" s="20"/>
      <c r="B233" s="20"/>
      <c r="C233" s="20"/>
      <c r="D233" s="20"/>
      <c r="E233" s="20"/>
      <c r="F233" s="20"/>
      <c r="G233" s="21"/>
      <c r="H233" s="20"/>
      <c r="I233" s="20"/>
      <c r="J233" s="22"/>
      <c r="K233" s="20"/>
    </row>
    <row r="234" customFormat="false" ht="15" hidden="false" customHeight="false" outlineLevel="0" collapsed="false">
      <c r="A234" s="20"/>
      <c r="B234" s="20"/>
      <c r="C234" s="20"/>
      <c r="D234" s="20"/>
      <c r="E234" s="20"/>
      <c r="F234" s="20"/>
      <c r="G234" s="21"/>
      <c r="H234" s="20"/>
      <c r="I234" s="20"/>
      <c r="J234" s="22"/>
      <c r="K234" s="20"/>
    </row>
    <row r="235" customFormat="false" ht="15" hidden="false" customHeight="false" outlineLevel="0" collapsed="false">
      <c r="A235" s="20"/>
      <c r="B235" s="20"/>
      <c r="C235" s="20"/>
      <c r="D235" s="20"/>
      <c r="E235" s="20"/>
      <c r="F235" s="20"/>
      <c r="G235" s="21"/>
      <c r="H235" s="20"/>
      <c r="I235" s="20"/>
      <c r="J235" s="22"/>
      <c r="K235" s="20"/>
    </row>
    <row r="236" customFormat="false" ht="15" hidden="false" customHeight="false" outlineLevel="0" collapsed="false">
      <c r="A236" s="20"/>
      <c r="B236" s="20"/>
      <c r="C236" s="20"/>
      <c r="D236" s="20"/>
      <c r="E236" s="20"/>
      <c r="F236" s="20"/>
      <c r="G236" s="21"/>
      <c r="H236" s="20"/>
      <c r="I236" s="20"/>
      <c r="J236" s="22"/>
      <c r="K236" s="20"/>
    </row>
    <row r="237" customFormat="false" ht="15" hidden="false" customHeight="false" outlineLevel="0" collapsed="false">
      <c r="A237" s="20"/>
      <c r="B237" s="20"/>
      <c r="C237" s="20"/>
      <c r="D237" s="20"/>
      <c r="E237" s="20"/>
      <c r="F237" s="20"/>
      <c r="G237" s="21"/>
      <c r="H237" s="20"/>
      <c r="I237" s="20"/>
      <c r="J237" s="22"/>
      <c r="K237" s="20"/>
    </row>
    <row r="238" customFormat="false" ht="15" hidden="false" customHeight="false" outlineLevel="0" collapsed="false">
      <c r="A238" s="20"/>
      <c r="B238" s="20"/>
      <c r="C238" s="20"/>
      <c r="D238" s="20"/>
      <c r="E238" s="20"/>
      <c r="F238" s="20"/>
      <c r="G238" s="21"/>
      <c r="H238" s="20"/>
      <c r="I238" s="20"/>
      <c r="J238" s="22"/>
      <c r="K238" s="20"/>
    </row>
    <row r="239" customFormat="false" ht="15" hidden="false" customHeight="false" outlineLevel="0" collapsed="false">
      <c r="A239" s="20"/>
      <c r="B239" s="20"/>
      <c r="C239" s="20"/>
      <c r="D239" s="20"/>
      <c r="E239" s="20"/>
      <c r="F239" s="20"/>
      <c r="G239" s="21"/>
      <c r="H239" s="20"/>
      <c r="I239" s="20"/>
      <c r="J239" s="22"/>
      <c r="K239" s="20"/>
    </row>
    <row r="240" customFormat="false" ht="15" hidden="false" customHeight="false" outlineLevel="0" collapsed="false">
      <c r="A240" s="20"/>
      <c r="B240" s="20"/>
      <c r="C240" s="20"/>
      <c r="D240" s="20"/>
      <c r="E240" s="20"/>
      <c r="F240" s="20"/>
      <c r="G240" s="21"/>
      <c r="H240" s="20"/>
      <c r="I240" s="20"/>
      <c r="J240" s="22"/>
      <c r="K240" s="20"/>
    </row>
    <row r="241" customFormat="false" ht="15" hidden="false" customHeight="false" outlineLevel="0" collapsed="false">
      <c r="A241" s="20"/>
      <c r="B241" s="20"/>
      <c r="C241" s="20"/>
      <c r="D241" s="20"/>
      <c r="E241" s="20"/>
      <c r="F241" s="20"/>
      <c r="G241" s="21"/>
      <c r="H241" s="20"/>
      <c r="I241" s="20"/>
      <c r="J241" s="22"/>
      <c r="K241" s="20"/>
    </row>
    <row r="242" customFormat="false" ht="15" hidden="false" customHeight="false" outlineLevel="0" collapsed="false">
      <c r="A242" s="20"/>
      <c r="B242" s="20"/>
      <c r="C242" s="20"/>
      <c r="D242" s="20"/>
      <c r="E242" s="20"/>
      <c r="F242" s="20"/>
      <c r="G242" s="21"/>
      <c r="H242" s="20"/>
      <c r="I242" s="20"/>
      <c r="J242" s="22"/>
      <c r="K242" s="20"/>
    </row>
    <row r="243" customFormat="false" ht="15" hidden="false" customHeight="false" outlineLevel="0" collapsed="false">
      <c r="A243" s="20"/>
      <c r="B243" s="20"/>
      <c r="C243" s="20"/>
      <c r="D243" s="20"/>
      <c r="E243" s="20"/>
      <c r="F243" s="20"/>
      <c r="G243" s="21"/>
      <c r="H243" s="20"/>
      <c r="I243" s="20"/>
      <c r="J243" s="22"/>
      <c r="K243" s="20"/>
    </row>
    <row r="244" customFormat="false" ht="15" hidden="false" customHeight="false" outlineLevel="0" collapsed="false">
      <c r="A244" s="20"/>
      <c r="B244" s="20"/>
      <c r="C244" s="20"/>
      <c r="D244" s="20"/>
      <c r="E244" s="20"/>
      <c r="F244" s="20"/>
      <c r="G244" s="21"/>
      <c r="H244" s="20"/>
      <c r="I244" s="20"/>
      <c r="J244" s="22"/>
      <c r="K244" s="20"/>
    </row>
    <row r="245" customFormat="false" ht="15" hidden="false" customHeight="false" outlineLevel="0" collapsed="false">
      <c r="A245" s="20"/>
      <c r="B245" s="20"/>
      <c r="C245" s="20"/>
      <c r="D245" s="20"/>
      <c r="E245" s="20"/>
      <c r="F245" s="20"/>
      <c r="G245" s="21"/>
      <c r="H245" s="20"/>
      <c r="I245" s="20"/>
      <c r="J245" s="22"/>
      <c r="K245" s="20"/>
    </row>
    <row r="246" customFormat="false" ht="15" hidden="false" customHeight="false" outlineLevel="0" collapsed="false">
      <c r="A246" s="20"/>
      <c r="B246" s="20"/>
      <c r="C246" s="20"/>
      <c r="D246" s="20"/>
      <c r="E246" s="20"/>
      <c r="F246" s="20"/>
      <c r="G246" s="21"/>
      <c r="H246" s="20"/>
      <c r="I246" s="20"/>
      <c r="J246" s="22"/>
      <c r="K246" s="20"/>
    </row>
    <row r="247" customFormat="false" ht="15" hidden="false" customHeight="false" outlineLevel="0" collapsed="false">
      <c r="A247" s="20"/>
      <c r="B247" s="20"/>
      <c r="C247" s="20"/>
      <c r="D247" s="20"/>
      <c r="E247" s="20"/>
      <c r="F247" s="20"/>
      <c r="G247" s="21"/>
      <c r="H247" s="20"/>
      <c r="I247" s="20"/>
      <c r="J247" s="22"/>
      <c r="K247" s="20"/>
    </row>
    <row r="248" customFormat="false" ht="15" hidden="false" customHeight="false" outlineLevel="0" collapsed="false">
      <c r="A248" s="20"/>
      <c r="B248" s="20"/>
      <c r="C248" s="20"/>
      <c r="D248" s="20"/>
      <c r="E248" s="20"/>
      <c r="F248" s="20"/>
      <c r="G248" s="21"/>
      <c r="H248" s="20"/>
      <c r="I248" s="20"/>
      <c r="J248" s="22"/>
      <c r="K248" s="20"/>
    </row>
    <row r="249" customFormat="false" ht="15" hidden="false" customHeight="false" outlineLevel="0" collapsed="false">
      <c r="A249" s="20"/>
      <c r="B249" s="20"/>
      <c r="C249" s="20"/>
      <c r="D249" s="20"/>
      <c r="E249" s="20"/>
      <c r="F249" s="20"/>
      <c r="G249" s="21"/>
      <c r="H249" s="20"/>
      <c r="I249" s="20"/>
      <c r="J249" s="22"/>
      <c r="K249" s="20"/>
    </row>
    <row r="250" customFormat="false" ht="15" hidden="false" customHeight="false" outlineLevel="0" collapsed="false">
      <c r="A250" s="20"/>
      <c r="B250" s="20"/>
      <c r="C250" s="20"/>
      <c r="D250" s="20"/>
      <c r="E250" s="20"/>
      <c r="F250" s="20"/>
      <c r="G250" s="21"/>
      <c r="H250" s="20"/>
      <c r="I250" s="20"/>
      <c r="J250" s="22"/>
      <c r="K250" s="20"/>
    </row>
    <row r="251" customFormat="false" ht="15" hidden="false" customHeight="false" outlineLevel="0" collapsed="false">
      <c r="A251" s="20"/>
      <c r="B251" s="20"/>
      <c r="C251" s="20"/>
      <c r="D251" s="20"/>
      <c r="E251" s="20"/>
      <c r="F251" s="20"/>
      <c r="G251" s="21"/>
      <c r="H251" s="20"/>
      <c r="I251" s="20"/>
      <c r="J251" s="22"/>
      <c r="K251" s="20"/>
    </row>
    <row r="252" customFormat="false" ht="15" hidden="false" customHeight="false" outlineLevel="0" collapsed="false">
      <c r="A252" s="20"/>
      <c r="B252" s="20"/>
      <c r="C252" s="20"/>
      <c r="D252" s="20"/>
      <c r="E252" s="20"/>
      <c r="F252" s="20"/>
      <c r="G252" s="21"/>
      <c r="H252" s="20"/>
      <c r="I252" s="20"/>
      <c r="J252" s="22"/>
      <c r="K252" s="20"/>
    </row>
    <row r="253" customFormat="false" ht="15" hidden="false" customHeight="false" outlineLevel="0" collapsed="false">
      <c r="A253" s="20"/>
      <c r="B253" s="20"/>
      <c r="C253" s="20"/>
      <c r="D253" s="20"/>
      <c r="E253" s="20"/>
      <c r="F253" s="20"/>
      <c r="G253" s="21"/>
      <c r="H253" s="20"/>
      <c r="I253" s="20"/>
      <c r="J253" s="22"/>
      <c r="K253" s="20"/>
    </row>
    <row r="254" customFormat="false" ht="15" hidden="false" customHeight="false" outlineLevel="0" collapsed="false">
      <c r="A254" s="20"/>
      <c r="B254" s="20"/>
      <c r="C254" s="20"/>
      <c r="D254" s="20"/>
      <c r="E254" s="20"/>
      <c r="F254" s="20"/>
      <c r="G254" s="21"/>
      <c r="H254" s="20"/>
      <c r="I254" s="20"/>
      <c r="J254" s="22"/>
      <c r="K254" s="20"/>
    </row>
    <row r="255" customFormat="false" ht="15" hidden="false" customHeight="false" outlineLevel="0" collapsed="false">
      <c r="A255" s="20"/>
      <c r="B255" s="20"/>
      <c r="C255" s="20"/>
      <c r="D255" s="20"/>
      <c r="E255" s="20"/>
      <c r="F255" s="20"/>
      <c r="G255" s="21"/>
      <c r="H255" s="20"/>
      <c r="I255" s="20"/>
      <c r="J255" s="22"/>
      <c r="K255" s="20"/>
    </row>
    <row r="256" customFormat="false" ht="15" hidden="false" customHeight="false" outlineLevel="0" collapsed="false">
      <c r="A256" s="20"/>
      <c r="B256" s="20"/>
      <c r="C256" s="20"/>
      <c r="D256" s="20"/>
      <c r="E256" s="20"/>
      <c r="F256" s="20"/>
      <c r="G256" s="21"/>
      <c r="H256" s="20"/>
      <c r="I256" s="20"/>
      <c r="J256" s="22"/>
      <c r="K256" s="20"/>
    </row>
    <row r="257" customFormat="false" ht="15" hidden="false" customHeight="false" outlineLevel="0" collapsed="false">
      <c r="A257" s="20"/>
      <c r="B257" s="20"/>
      <c r="C257" s="20"/>
      <c r="D257" s="20"/>
      <c r="E257" s="20"/>
      <c r="F257" s="20"/>
      <c r="G257" s="21"/>
      <c r="H257" s="20"/>
      <c r="I257" s="20"/>
      <c r="J257" s="22"/>
      <c r="K257" s="20"/>
    </row>
    <row r="258" customFormat="false" ht="15" hidden="false" customHeight="false" outlineLevel="0" collapsed="false">
      <c r="A258" s="20"/>
      <c r="B258" s="20"/>
      <c r="C258" s="20"/>
      <c r="D258" s="20"/>
      <c r="E258" s="20"/>
      <c r="F258" s="20"/>
      <c r="G258" s="21"/>
      <c r="H258" s="20"/>
      <c r="I258" s="20"/>
      <c r="J258" s="22"/>
      <c r="K258" s="20"/>
    </row>
    <row r="259" customFormat="false" ht="15" hidden="false" customHeight="false" outlineLevel="0" collapsed="false">
      <c r="A259" s="20"/>
      <c r="B259" s="20"/>
      <c r="C259" s="20"/>
      <c r="D259" s="20"/>
      <c r="E259" s="20"/>
      <c r="F259" s="20"/>
      <c r="G259" s="21"/>
      <c r="H259" s="20"/>
      <c r="I259" s="20"/>
      <c r="J259" s="22"/>
      <c r="K259" s="20"/>
    </row>
    <row r="260" customFormat="false" ht="15" hidden="false" customHeight="false" outlineLevel="0" collapsed="false">
      <c r="A260" s="20"/>
      <c r="B260" s="20"/>
      <c r="C260" s="20"/>
      <c r="D260" s="20"/>
      <c r="E260" s="20"/>
      <c r="F260" s="20"/>
      <c r="G260" s="21"/>
      <c r="H260" s="20"/>
      <c r="I260" s="20"/>
      <c r="J260" s="22"/>
      <c r="K260" s="20"/>
    </row>
    <row r="261" customFormat="false" ht="15" hidden="false" customHeight="false" outlineLevel="0" collapsed="false">
      <c r="A261" s="20"/>
      <c r="B261" s="20"/>
      <c r="C261" s="20"/>
      <c r="D261" s="20"/>
      <c r="E261" s="20"/>
      <c r="F261" s="20"/>
      <c r="G261" s="21"/>
      <c r="H261" s="20"/>
      <c r="I261" s="20"/>
      <c r="J261" s="22"/>
      <c r="K261" s="20"/>
    </row>
    <row r="262" customFormat="false" ht="15" hidden="false" customHeight="false" outlineLevel="0" collapsed="false">
      <c r="A262" s="20"/>
      <c r="B262" s="20"/>
      <c r="C262" s="20"/>
      <c r="D262" s="20"/>
      <c r="E262" s="20"/>
      <c r="F262" s="20"/>
      <c r="G262" s="21"/>
      <c r="H262" s="20"/>
      <c r="I262" s="20"/>
      <c r="J262" s="22"/>
      <c r="K262" s="20"/>
    </row>
    <row r="263" customFormat="false" ht="15" hidden="false" customHeight="false" outlineLevel="0" collapsed="false">
      <c r="A263" s="20"/>
      <c r="B263" s="20"/>
      <c r="C263" s="20"/>
      <c r="D263" s="20"/>
      <c r="E263" s="20"/>
      <c r="F263" s="20"/>
      <c r="G263" s="21"/>
      <c r="H263" s="20"/>
      <c r="I263" s="20"/>
      <c r="J263" s="22"/>
      <c r="K263" s="20"/>
    </row>
    <row r="264" customFormat="false" ht="15" hidden="false" customHeight="false" outlineLevel="0" collapsed="false">
      <c r="A264" s="20"/>
      <c r="B264" s="20"/>
      <c r="C264" s="20"/>
      <c r="D264" s="20"/>
      <c r="E264" s="20"/>
      <c r="F264" s="20"/>
      <c r="G264" s="21"/>
      <c r="H264" s="20"/>
      <c r="I264" s="20"/>
      <c r="J264" s="22"/>
      <c r="K264" s="20"/>
    </row>
    <row r="265" customFormat="false" ht="15" hidden="false" customHeight="false" outlineLevel="0" collapsed="false">
      <c r="A265" s="20"/>
      <c r="B265" s="20"/>
      <c r="C265" s="20"/>
      <c r="D265" s="20"/>
      <c r="E265" s="20"/>
      <c r="F265" s="20"/>
      <c r="G265" s="21"/>
      <c r="H265" s="20"/>
      <c r="I265" s="20"/>
      <c r="J265" s="22"/>
      <c r="K265" s="20"/>
    </row>
    <row r="266" customFormat="false" ht="15" hidden="false" customHeight="false" outlineLevel="0" collapsed="false">
      <c r="A266" s="20"/>
      <c r="B266" s="20"/>
      <c r="C266" s="20"/>
      <c r="D266" s="20"/>
      <c r="E266" s="20"/>
      <c r="F266" s="20"/>
      <c r="G266" s="21"/>
      <c r="H266" s="20"/>
      <c r="I266" s="20"/>
      <c r="J266" s="22"/>
      <c r="K266" s="20"/>
    </row>
    <row r="267" customFormat="false" ht="15" hidden="false" customHeight="false" outlineLevel="0" collapsed="false">
      <c r="A267" s="20"/>
      <c r="B267" s="20"/>
      <c r="C267" s="20"/>
      <c r="D267" s="20"/>
      <c r="E267" s="20"/>
      <c r="F267" s="20"/>
      <c r="G267" s="21"/>
      <c r="H267" s="20"/>
      <c r="I267" s="20"/>
      <c r="J267" s="22"/>
      <c r="K267" s="20"/>
    </row>
    <row r="268" customFormat="false" ht="15" hidden="false" customHeight="false" outlineLevel="0" collapsed="false">
      <c r="A268" s="20"/>
      <c r="B268" s="20"/>
      <c r="C268" s="20"/>
      <c r="D268" s="20"/>
      <c r="E268" s="20"/>
      <c r="F268" s="20"/>
      <c r="G268" s="21"/>
      <c r="H268" s="20"/>
      <c r="I268" s="20"/>
      <c r="J268" s="22"/>
      <c r="K268" s="20"/>
    </row>
    <row r="269" customFormat="false" ht="15" hidden="false" customHeight="false" outlineLevel="0" collapsed="false">
      <c r="A269" s="20"/>
      <c r="B269" s="20"/>
      <c r="C269" s="20"/>
      <c r="D269" s="20"/>
      <c r="E269" s="20"/>
      <c r="F269" s="20"/>
      <c r="G269" s="21"/>
      <c r="H269" s="20"/>
      <c r="I269" s="20"/>
      <c r="J269" s="22"/>
      <c r="K269" s="20"/>
    </row>
    <row r="270" customFormat="false" ht="15" hidden="false" customHeight="false" outlineLevel="0" collapsed="false">
      <c r="A270" s="20"/>
      <c r="B270" s="20"/>
      <c r="C270" s="20"/>
      <c r="D270" s="20"/>
      <c r="E270" s="20"/>
      <c r="F270" s="20"/>
      <c r="G270" s="21"/>
      <c r="H270" s="20"/>
      <c r="I270" s="20"/>
      <c r="J270" s="22"/>
      <c r="K270" s="20"/>
    </row>
    <row r="271" customFormat="false" ht="15" hidden="false" customHeight="false" outlineLevel="0" collapsed="false">
      <c r="A271" s="20"/>
      <c r="B271" s="20"/>
      <c r="C271" s="20"/>
      <c r="D271" s="20"/>
      <c r="E271" s="20"/>
      <c r="F271" s="20"/>
      <c r="G271" s="21"/>
      <c r="H271" s="20"/>
      <c r="I271" s="20"/>
      <c r="J271" s="22"/>
      <c r="K271" s="20"/>
    </row>
    <row r="272" customFormat="false" ht="15" hidden="false" customHeight="false" outlineLevel="0" collapsed="false">
      <c r="A272" s="20"/>
      <c r="B272" s="20"/>
      <c r="C272" s="20"/>
      <c r="D272" s="20"/>
      <c r="E272" s="20"/>
      <c r="F272" s="20"/>
      <c r="G272" s="21"/>
      <c r="H272" s="20"/>
      <c r="I272" s="20"/>
      <c r="J272" s="22"/>
      <c r="K272" s="20"/>
    </row>
    <row r="273" customFormat="false" ht="15" hidden="false" customHeight="false" outlineLevel="0" collapsed="false">
      <c r="A273" s="20"/>
      <c r="B273" s="20"/>
      <c r="C273" s="20"/>
      <c r="D273" s="20"/>
      <c r="E273" s="20"/>
      <c r="F273" s="20"/>
      <c r="G273" s="21"/>
      <c r="H273" s="20"/>
      <c r="I273" s="20"/>
      <c r="J273" s="22"/>
      <c r="K273" s="20"/>
    </row>
    <row r="274" customFormat="false" ht="15" hidden="false" customHeight="false" outlineLevel="0" collapsed="false">
      <c r="A274" s="20"/>
      <c r="B274" s="20"/>
      <c r="C274" s="20"/>
      <c r="D274" s="20"/>
      <c r="E274" s="20"/>
      <c r="F274" s="20"/>
      <c r="G274" s="21"/>
      <c r="H274" s="20"/>
      <c r="I274" s="20"/>
      <c r="J274" s="22"/>
      <c r="K274" s="20"/>
    </row>
    <row r="275" customFormat="false" ht="15" hidden="false" customHeight="false" outlineLevel="0" collapsed="false">
      <c r="A275" s="20"/>
      <c r="B275" s="20"/>
      <c r="C275" s="20"/>
      <c r="D275" s="20"/>
      <c r="E275" s="20"/>
      <c r="F275" s="20"/>
      <c r="G275" s="21"/>
      <c r="H275" s="20"/>
      <c r="I275" s="20"/>
      <c r="J275" s="22"/>
      <c r="K275" s="20"/>
    </row>
    <row r="276" customFormat="false" ht="15" hidden="false" customHeight="false" outlineLevel="0" collapsed="false">
      <c r="A276" s="20"/>
      <c r="B276" s="20"/>
      <c r="C276" s="20"/>
      <c r="D276" s="20"/>
      <c r="E276" s="20"/>
      <c r="F276" s="20"/>
      <c r="G276" s="21"/>
      <c r="H276" s="20"/>
      <c r="I276" s="20"/>
      <c r="J276" s="22"/>
      <c r="K276" s="20"/>
    </row>
    <row r="277" customFormat="false" ht="15" hidden="false" customHeight="false" outlineLevel="0" collapsed="false">
      <c r="A277" s="20"/>
      <c r="B277" s="20"/>
      <c r="C277" s="20"/>
      <c r="D277" s="20"/>
      <c r="E277" s="20"/>
      <c r="F277" s="20"/>
      <c r="G277" s="21"/>
      <c r="H277" s="20"/>
      <c r="I277" s="20"/>
      <c r="J277" s="22"/>
      <c r="K277" s="20"/>
    </row>
    <row r="278" customFormat="false" ht="15" hidden="false" customHeight="false" outlineLevel="0" collapsed="false">
      <c r="A278" s="20"/>
      <c r="B278" s="20"/>
      <c r="C278" s="20"/>
      <c r="D278" s="20"/>
      <c r="E278" s="20"/>
      <c r="F278" s="20"/>
      <c r="G278" s="21"/>
      <c r="H278" s="20"/>
      <c r="I278" s="20"/>
      <c r="J278" s="22"/>
      <c r="K278" s="20"/>
    </row>
    <row r="279" customFormat="false" ht="15" hidden="false" customHeight="false" outlineLevel="0" collapsed="false">
      <c r="A279" s="20"/>
      <c r="B279" s="20"/>
      <c r="C279" s="20"/>
      <c r="D279" s="20"/>
      <c r="E279" s="20"/>
      <c r="F279" s="20"/>
      <c r="G279" s="21"/>
      <c r="H279" s="20"/>
      <c r="I279" s="20"/>
      <c r="J279" s="22"/>
      <c r="K279" s="20"/>
    </row>
    <row r="280" customFormat="false" ht="15" hidden="false" customHeight="false" outlineLevel="0" collapsed="false">
      <c r="A280" s="20"/>
      <c r="B280" s="20"/>
      <c r="C280" s="20"/>
      <c r="D280" s="20"/>
      <c r="E280" s="20"/>
      <c r="F280" s="20"/>
      <c r="G280" s="21"/>
      <c r="H280" s="20"/>
      <c r="I280" s="20"/>
      <c r="J280" s="22"/>
      <c r="K280" s="20"/>
    </row>
    <row r="281" customFormat="false" ht="15" hidden="false" customHeight="false" outlineLevel="0" collapsed="false">
      <c r="A281" s="20"/>
      <c r="B281" s="20"/>
      <c r="C281" s="20"/>
      <c r="D281" s="20"/>
      <c r="E281" s="20"/>
      <c r="F281" s="20"/>
      <c r="G281" s="21"/>
      <c r="H281" s="20"/>
      <c r="I281" s="20"/>
      <c r="J281" s="22"/>
      <c r="K281" s="20"/>
    </row>
    <row r="282" customFormat="false" ht="15" hidden="false" customHeight="false" outlineLevel="0" collapsed="false">
      <c r="A282" s="20"/>
      <c r="B282" s="20"/>
      <c r="C282" s="20"/>
      <c r="D282" s="20"/>
      <c r="E282" s="20"/>
      <c r="F282" s="20"/>
      <c r="G282" s="21"/>
      <c r="H282" s="20"/>
      <c r="I282" s="20"/>
      <c r="J282" s="22"/>
      <c r="K282" s="20"/>
    </row>
    <row r="283" customFormat="false" ht="15" hidden="false" customHeight="false" outlineLevel="0" collapsed="false">
      <c r="A283" s="20"/>
      <c r="B283" s="20"/>
      <c r="C283" s="20"/>
      <c r="D283" s="20"/>
      <c r="E283" s="20"/>
      <c r="F283" s="20"/>
      <c r="G283" s="21"/>
      <c r="H283" s="20"/>
      <c r="I283" s="20"/>
      <c r="J283" s="22"/>
      <c r="K283" s="20"/>
    </row>
    <row r="284" customFormat="false" ht="15" hidden="false" customHeight="false" outlineLevel="0" collapsed="false">
      <c r="A284" s="20"/>
      <c r="B284" s="20"/>
      <c r="C284" s="20"/>
      <c r="D284" s="20"/>
      <c r="E284" s="20"/>
      <c r="F284" s="20"/>
      <c r="G284" s="21"/>
      <c r="H284" s="20"/>
      <c r="I284" s="20"/>
      <c r="J284" s="22"/>
      <c r="K284" s="20"/>
    </row>
    <row r="285" customFormat="false" ht="15" hidden="false" customHeight="false" outlineLevel="0" collapsed="false">
      <c r="A285" s="20"/>
      <c r="B285" s="20"/>
      <c r="C285" s="20"/>
      <c r="D285" s="20"/>
      <c r="E285" s="20"/>
      <c r="F285" s="20"/>
      <c r="G285" s="21"/>
      <c r="H285" s="20"/>
      <c r="I285" s="20"/>
      <c r="J285" s="22"/>
      <c r="K285" s="20"/>
    </row>
    <row r="286" customFormat="false" ht="15" hidden="false" customHeight="false" outlineLevel="0" collapsed="false">
      <c r="A286" s="20"/>
      <c r="B286" s="20"/>
      <c r="C286" s="20"/>
      <c r="D286" s="20"/>
      <c r="E286" s="20"/>
      <c r="F286" s="20"/>
      <c r="G286" s="21"/>
      <c r="H286" s="20"/>
      <c r="I286" s="20"/>
      <c r="J286" s="22"/>
      <c r="K286" s="20"/>
    </row>
    <row r="287" customFormat="false" ht="15" hidden="false" customHeight="false" outlineLevel="0" collapsed="false">
      <c r="A287" s="20"/>
      <c r="B287" s="20"/>
      <c r="C287" s="20"/>
      <c r="D287" s="20"/>
      <c r="E287" s="20"/>
      <c r="F287" s="20"/>
      <c r="G287" s="21"/>
      <c r="H287" s="20"/>
      <c r="I287" s="20"/>
      <c r="J287" s="22"/>
      <c r="K287" s="20"/>
    </row>
    <row r="288" customFormat="false" ht="15" hidden="false" customHeight="false" outlineLevel="0" collapsed="false">
      <c r="A288" s="20"/>
      <c r="B288" s="20"/>
      <c r="C288" s="20"/>
      <c r="D288" s="20"/>
      <c r="E288" s="20"/>
      <c r="F288" s="20"/>
      <c r="G288" s="21"/>
      <c r="H288" s="20"/>
      <c r="I288" s="20"/>
      <c r="J288" s="22"/>
      <c r="K288" s="20"/>
    </row>
    <row r="289" customFormat="false" ht="15" hidden="false" customHeight="false" outlineLevel="0" collapsed="false">
      <c r="A289" s="20"/>
      <c r="B289" s="20"/>
      <c r="C289" s="20"/>
      <c r="D289" s="20"/>
      <c r="E289" s="20"/>
      <c r="F289" s="20"/>
      <c r="G289" s="21"/>
      <c r="H289" s="20"/>
      <c r="I289" s="20"/>
      <c r="J289" s="22"/>
      <c r="K289" s="20"/>
    </row>
    <row r="290" customFormat="false" ht="15" hidden="false" customHeight="false" outlineLevel="0" collapsed="false">
      <c r="A290" s="20"/>
      <c r="B290" s="20"/>
      <c r="C290" s="20"/>
      <c r="D290" s="20"/>
      <c r="E290" s="20"/>
      <c r="F290" s="20"/>
      <c r="G290" s="21"/>
      <c r="H290" s="20"/>
      <c r="I290" s="20"/>
      <c r="J290" s="22"/>
      <c r="K290" s="20"/>
    </row>
    <row r="291" customFormat="false" ht="15" hidden="false" customHeight="false" outlineLevel="0" collapsed="false">
      <c r="A291" s="20"/>
      <c r="B291" s="20"/>
      <c r="C291" s="20"/>
      <c r="D291" s="20"/>
      <c r="E291" s="20"/>
      <c r="F291" s="20"/>
      <c r="G291" s="21"/>
      <c r="H291" s="20"/>
      <c r="I291" s="20"/>
      <c r="J291" s="22"/>
      <c r="K291" s="20"/>
    </row>
    <row r="292" customFormat="false" ht="15" hidden="false" customHeight="false" outlineLevel="0" collapsed="false">
      <c r="A292" s="20"/>
      <c r="B292" s="20"/>
      <c r="C292" s="20"/>
      <c r="D292" s="20"/>
      <c r="E292" s="20"/>
      <c r="F292" s="20"/>
      <c r="G292" s="21"/>
      <c r="H292" s="20"/>
      <c r="I292" s="20"/>
      <c r="J292" s="22"/>
      <c r="K292" s="20"/>
    </row>
    <row r="293" customFormat="false" ht="15" hidden="false" customHeight="false" outlineLevel="0" collapsed="false">
      <c r="A293" s="20"/>
      <c r="B293" s="20"/>
      <c r="C293" s="20"/>
      <c r="D293" s="20"/>
      <c r="E293" s="20"/>
      <c r="F293" s="20"/>
      <c r="G293" s="21"/>
      <c r="H293" s="20"/>
      <c r="I293" s="20"/>
      <c r="J293" s="22"/>
      <c r="K293" s="20"/>
    </row>
    <row r="294" customFormat="false" ht="15" hidden="false" customHeight="false" outlineLevel="0" collapsed="false">
      <c r="A294" s="20"/>
      <c r="B294" s="20"/>
      <c r="C294" s="20"/>
      <c r="D294" s="20"/>
      <c r="E294" s="20"/>
      <c r="F294" s="20"/>
      <c r="G294" s="21"/>
      <c r="H294" s="20"/>
      <c r="I294" s="20"/>
      <c r="J294" s="22"/>
      <c r="K294" s="20"/>
    </row>
    <row r="295" customFormat="false" ht="15" hidden="false" customHeight="false" outlineLevel="0" collapsed="false">
      <c r="A295" s="20"/>
      <c r="B295" s="20"/>
      <c r="C295" s="20"/>
      <c r="D295" s="20"/>
      <c r="E295" s="20"/>
      <c r="F295" s="20"/>
      <c r="G295" s="21"/>
      <c r="H295" s="20"/>
      <c r="I295" s="20"/>
      <c r="J295" s="22"/>
      <c r="K295" s="20"/>
    </row>
    <row r="296" customFormat="false" ht="15" hidden="false" customHeight="false" outlineLevel="0" collapsed="false">
      <c r="A296" s="20"/>
      <c r="B296" s="20"/>
      <c r="C296" s="20"/>
      <c r="D296" s="20"/>
      <c r="E296" s="20"/>
      <c r="F296" s="20"/>
      <c r="G296" s="21"/>
      <c r="H296" s="20"/>
      <c r="I296" s="20"/>
      <c r="J296" s="22"/>
      <c r="K296" s="20"/>
    </row>
    <row r="297" customFormat="false" ht="15" hidden="false" customHeight="false" outlineLevel="0" collapsed="false">
      <c r="A297" s="20"/>
      <c r="B297" s="20"/>
      <c r="C297" s="20"/>
      <c r="D297" s="20"/>
      <c r="E297" s="20"/>
      <c r="F297" s="20"/>
      <c r="G297" s="21"/>
      <c r="H297" s="20"/>
      <c r="I297" s="20"/>
      <c r="J297" s="22"/>
      <c r="K297" s="20"/>
    </row>
    <row r="298" customFormat="false" ht="15" hidden="false" customHeight="false" outlineLevel="0" collapsed="false">
      <c r="A298" s="20"/>
      <c r="B298" s="20"/>
      <c r="C298" s="20"/>
      <c r="D298" s="20"/>
      <c r="E298" s="20"/>
      <c r="F298" s="20"/>
      <c r="G298" s="21"/>
      <c r="H298" s="20"/>
      <c r="I298" s="20"/>
      <c r="J298" s="22"/>
      <c r="K298" s="20"/>
    </row>
    <row r="299" customFormat="false" ht="15" hidden="false" customHeight="false" outlineLevel="0" collapsed="false">
      <c r="A299" s="20"/>
      <c r="B299" s="20"/>
      <c r="C299" s="20"/>
      <c r="D299" s="20"/>
      <c r="E299" s="20"/>
      <c r="F299" s="20"/>
      <c r="G299" s="21"/>
      <c r="H299" s="20"/>
      <c r="I299" s="20"/>
      <c r="J299" s="22"/>
      <c r="K299" s="20"/>
    </row>
    <row r="300" customFormat="false" ht="15" hidden="false" customHeight="false" outlineLevel="0" collapsed="false">
      <c r="A300" s="20"/>
      <c r="B300" s="20"/>
      <c r="C300" s="20"/>
      <c r="D300" s="20"/>
      <c r="E300" s="20"/>
      <c r="F300" s="20"/>
      <c r="G300" s="21"/>
      <c r="H300" s="20"/>
      <c r="I300" s="20"/>
      <c r="J300" s="22"/>
      <c r="K300" s="20"/>
    </row>
    <row r="301" customFormat="false" ht="15" hidden="false" customHeight="false" outlineLevel="0" collapsed="false">
      <c r="A301" s="20"/>
      <c r="B301" s="20"/>
      <c r="C301" s="20"/>
      <c r="D301" s="20"/>
      <c r="E301" s="20"/>
      <c r="F301" s="20"/>
      <c r="G301" s="21"/>
      <c r="H301" s="20"/>
      <c r="I301" s="20"/>
      <c r="J301" s="22"/>
      <c r="K301" s="20"/>
    </row>
    <row r="302" customFormat="false" ht="15" hidden="false" customHeight="false" outlineLevel="0" collapsed="false">
      <c r="A302" s="20"/>
      <c r="B302" s="20"/>
      <c r="C302" s="20"/>
      <c r="D302" s="20"/>
      <c r="E302" s="20"/>
      <c r="F302" s="20"/>
      <c r="G302" s="21"/>
      <c r="H302" s="20"/>
      <c r="I302" s="20"/>
      <c r="J302" s="22"/>
      <c r="K302" s="20"/>
    </row>
    <row r="303" customFormat="false" ht="15" hidden="false" customHeight="false" outlineLevel="0" collapsed="false">
      <c r="A303" s="20"/>
      <c r="B303" s="20"/>
      <c r="C303" s="20"/>
      <c r="D303" s="20"/>
      <c r="E303" s="20"/>
      <c r="F303" s="20"/>
      <c r="G303" s="21"/>
      <c r="H303" s="20"/>
      <c r="I303" s="20"/>
      <c r="J303" s="22"/>
      <c r="K303" s="20"/>
    </row>
    <row r="304" customFormat="false" ht="15" hidden="false" customHeight="false" outlineLevel="0" collapsed="false">
      <c r="A304" s="20"/>
      <c r="B304" s="20"/>
      <c r="C304" s="20"/>
      <c r="D304" s="20"/>
      <c r="E304" s="20"/>
      <c r="F304" s="20"/>
      <c r="G304" s="21"/>
      <c r="H304" s="20"/>
      <c r="I304" s="20"/>
      <c r="J304" s="22"/>
      <c r="K304" s="20"/>
    </row>
    <row r="305" customFormat="false" ht="15" hidden="false" customHeight="false" outlineLevel="0" collapsed="false">
      <c r="A305" s="20"/>
      <c r="B305" s="20"/>
      <c r="C305" s="20"/>
      <c r="D305" s="20"/>
      <c r="E305" s="20"/>
      <c r="F305" s="20"/>
      <c r="G305" s="21"/>
      <c r="H305" s="20"/>
      <c r="I305" s="20"/>
      <c r="J305" s="22"/>
      <c r="K305" s="20"/>
    </row>
    <row r="306" customFormat="false" ht="15" hidden="false" customHeight="false" outlineLevel="0" collapsed="false">
      <c r="A306" s="20"/>
      <c r="B306" s="20"/>
      <c r="C306" s="20"/>
      <c r="D306" s="20"/>
      <c r="E306" s="20"/>
      <c r="F306" s="20"/>
      <c r="G306" s="21"/>
      <c r="H306" s="20"/>
      <c r="I306" s="20"/>
      <c r="J306" s="22"/>
      <c r="K306" s="20"/>
    </row>
    <row r="307" customFormat="false" ht="15" hidden="false" customHeight="false" outlineLevel="0" collapsed="false">
      <c r="A307" s="20"/>
      <c r="B307" s="20"/>
      <c r="C307" s="20"/>
      <c r="D307" s="20"/>
      <c r="E307" s="20"/>
      <c r="F307" s="20"/>
      <c r="G307" s="21"/>
      <c r="H307" s="20"/>
      <c r="I307" s="20"/>
      <c r="J307" s="22"/>
      <c r="K307" s="20"/>
    </row>
    <row r="308" customFormat="false" ht="15" hidden="false" customHeight="false" outlineLevel="0" collapsed="false">
      <c r="A308" s="20"/>
      <c r="B308" s="20"/>
      <c r="C308" s="20"/>
      <c r="D308" s="20"/>
      <c r="E308" s="20"/>
      <c r="F308" s="20"/>
      <c r="G308" s="21"/>
      <c r="H308" s="20"/>
      <c r="I308" s="20"/>
      <c r="J308" s="22"/>
      <c r="K308" s="20"/>
    </row>
    <row r="309" customFormat="false" ht="15" hidden="false" customHeight="false" outlineLevel="0" collapsed="false">
      <c r="A309" s="20"/>
      <c r="B309" s="20"/>
      <c r="C309" s="20"/>
      <c r="D309" s="20"/>
      <c r="E309" s="20"/>
      <c r="F309" s="20"/>
      <c r="G309" s="21"/>
      <c r="H309" s="20"/>
      <c r="I309" s="20"/>
      <c r="J309" s="22"/>
      <c r="K309" s="20"/>
    </row>
    <row r="310" customFormat="false" ht="15" hidden="false" customHeight="false" outlineLevel="0" collapsed="false">
      <c r="A310" s="20"/>
      <c r="B310" s="20"/>
      <c r="C310" s="20"/>
      <c r="D310" s="20"/>
      <c r="E310" s="20"/>
      <c r="F310" s="20"/>
      <c r="G310" s="21"/>
      <c r="H310" s="20"/>
      <c r="I310" s="20"/>
      <c r="J310" s="22"/>
      <c r="K310" s="20"/>
    </row>
    <row r="311" customFormat="false" ht="15" hidden="false" customHeight="false" outlineLevel="0" collapsed="false">
      <c r="A311" s="20"/>
      <c r="B311" s="20"/>
      <c r="C311" s="20"/>
      <c r="D311" s="20"/>
      <c r="E311" s="20"/>
      <c r="F311" s="20"/>
      <c r="G311" s="21"/>
      <c r="H311" s="20"/>
      <c r="I311" s="20"/>
      <c r="J311" s="22"/>
      <c r="K311" s="20"/>
    </row>
    <row r="312" customFormat="false" ht="15" hidden="false" customHeight="false" outlineLevel="0" collapsed="false">
      <c r="A312" s="20"/>
      <c r="B312" s="20"/>
      <c r="C312" s="20"/>
      <c r="D312" s="20"/>
      <c r="E312" s="20"/>
      <c r="F312" s="20"/>
      <c r="G312" s="21"/>
      <c r="H312" s="20"/>
      <c r="I312" s="20"/>
      <c r="J312" s="22"/>
      <c r="K312" s="20"/>
    </row>
    <row r="313" customFormat="false" ht="15" hidden="false" customHeight="false" outlineLevel="0" collapsed="false">
      <c r="A313" s="20"/>
      <c r="B313" s="20"/>
      <c r="C313" s="20"/>
      <c r="D313" s="20"/>
      <c r="E313" s="20"/>
      <c r="F313" s="20"/>
      <c r="G313" s="21"/>
      <c r="H313" s="20"/>
      <c r="I313" s="20"/>
      <c r="J313" s="22"/>
      <c r="K313" s="20"/>
    </row>
    <row r="314" customFormat="false" ht="15" hidden="false" customHeight="false" outlineLevel="0" collapsed="false">
      <c r="A314" s="20"/>
      <c r="B314" s="20"/>
      <c r="C314" s="20"/>
      <c r="D314" s="20"/>
      <c r="E314" s="20"/>
      <c r="F314" s="20"/>
      <c r="G314" s="21"/>
      <c r="H314" s="20"/>
      <c r="I314" s="20"/>
      <c r="J314" s="22"/>
      <c r="K314" s="20"/>
    </row>
    <row r="315" customFormat="false" ht="15" hidden="false" customHeight="false" outlineLevel="0" collapsed="false">
      <c r="A315" s="20"/>
      <c r="B315" s="20"/>
      <c r="C315" s="20"/>
      <c r="D315" s="20"/>
      <c r="E315" s="20"/>
      <c r="F315" s="20"/>
      <c r="G315" s="21"/>
      <c r="H315" s="20"/>
      <c r="I315" s="20"/>
      <c r="J315" s="22"/>
      <c r="K315" s="20"/>
    </row>
    <row r="316" customFormat="false" ht="15" hidden="false" customHeight="false" outlineLevel="0" collapsed="false">
      <c r="A316" s="20"/>
      <c r="B316" s="20"/>
      <c r="C316" s="20"/>
      <c r="D316" s="20"/>
      <c r="E316" s="20"/>
      <c r="F316" s="20"/>
      <c r="G316" s="21"/>
      <c r="H316" s="20"/>
      <c r="I316" s="20"/>
      <c r="J316" s="22"/>
      <c r="K316" s="20"/>
    </row>
    <row r="317" customFormat="false" ht="15" hidden="false" customHeight="false" outlineLevel="0" collapsed="false">
      <c r="A317" s="20"/>
      <c r="B317" s="20"/>
      <c r="C317" s="20"/>
      <c r="D317" s="20"/>
      <c r="E317" s="20"/>
      <c r="F317" s="20"/>
      <c r="G317" s="21"/>
      <c r="H317" s="20"/>
      <c r="I317" s="20"/>
      <c r="J317" s="22"/>
      <c r="K317" s="20"/>
    </row>
    <row r="318" customFormat="false" ht="15" hidden="false" customHeight="false" outlineLevel="0" collapsed="false">
      <c r="A318" s="20"/>
      <c r="B318" s="20"/>
      <c r="C318" s="20"/>
      <c r="D318" s="20"/>
      <c r="E318" s="20"/>
      <c r="F318" s="20"/>
      <c r="G318" s="21"/>
      <c r="H318" s="20"/>
      <c r="I318" s="20"/>
      <c r="J318" s="22"/>
      <c r="K318" s="20"/>
    </row>
    <row r="319" customFormat="false" ht="15" hidden="false" customHeight="false" outlineLevel="0" collapsed="false">
      <c r="A319" s="20"/>
      <c r="B319" s="20"/>
      <c r="C319" s="20"/>
      <c r="D319" s="20"/>
      <c r="E319" s="20"/>
      <c r="F319" s="20"/>
      <c r="G319" s="21"/>
      <c r="H319" s="20"/>
      <c r="I319" s="20"/>
      <c r="J319" s="22"/>
      <c r="K319" s="20"/>
    </row>
    <row r="320" customFormat="false" ht="15" hidden="false" customHeight="false" outlineLevel="0" collapsed="false">
      <c r="A320" s="20"/>
      <c r="B320" s="20"/>
      <c r="C320" s="20"/>
      <c r="D320" s="20"/>
      <c r="E320" s="20"/>
      <c r="F320" s="20"/>
      <c r="G320" s="21"/>
      <c r="H320" s="20"/>
      <c r="I320" s="20"/>
      <c r="J320" s="22"/>
      <c r="K320" s="20"/>
    </row>
    <row r="321" customFormat="false" ht="15" hidden="false" customHeight="false" outlineLevel="0" collapsed="false">
      <c r="A321" s="20"/>
      <c r="B321" s="20"/>
      <c r="C321" s="20"/>
      <c r="D321" s="20"/>
      <c r="E321" s="20"/>
      <c r="F321" s="20"/>
      <c r="G321" s="21"/>
      <c r="H321" s="20"/>
      <c r="I321" s="20"/>
      <c r="J321" s="22"/>
      <c r="K321" s="20"/>
    </row>
    <row r="322" customFormat="false" ht="15" hidden="false" customHeight="false" outlineLevel="0" collapsed="false">
      <c r="A322" s="20"/>
      <c r="B322" s="20"/>
      <c r="C322" s="20"/>
      <c r="D322" s="20"/>
      <c r="E322" s="20"/>
      <c r="F322" s="20"/>
      <c r="G322" s="21"/>
      <c r="H322" s="20"/>
      <c r="I322" s="20"/>
      <c r="J322" s="22"/>
      <c r="K322" s="20"/>
    </row>
    <row r="323" customFormat="false" ht="15" hidden="false" customHeight="false" outlineLevel="0" collapsed="false">
      <c r="A323" s="20"/>
      <c r="B323" s="20"/>
      <c r="C323" s="20"/>
      <c r="D323" s="20"/>
      <c r="E323" s="20"/>
      <c r="F323" s="20"/>
      <c r="G323" s="21"/>
      <c r="H323" s="20"/>
      <c r="I323" s="20"/>
      <c r="J323" s="22"/>
      <c r="K323" s="20"/>
    </row>
    <row r="324" customFormat="false" ht="15" hidden="false" customHeight="false" outlineLevel="0" collapsed="false">
      <c r="A324" s="20"/>
      <c r="B324" s="20"/>
      <c r="C324" s="20"/>
      <c r="D324" s="20"/>
      <c r="E324" s="20"/>
      <c r="F324" s="20"/>
      <c r="G324" s="21"/>
      <c r="H324" s="20"/>
      <c r="I324" s="20"/>
      <c r="J324" s="22"/>
      <c r="K324" s="20"/>
    </row>
    <row r="325" customFormat="false" ht="15" hidden="false" customHeight="false" outlineLevel="0" collapsed="false">
      <c r="A325" s="20"/>
      <c r="B325" s="20"/>
      <c r="C325" s="20"/>
      <c r="D325" s="20"/>
      <c r="E325" s="20"/>
      <c r="F325" s="20"/>
      <c r="G325" s="21"/>
      <c r="H325" s="20"/>
      <c r="I325" s="20"/>
      <c r="J325" s="22"/>
      <c r="K325" s="20"/>
    </row>
    <row r="326" customFormat="false" ht="15" hidden="false" customHeight="false" outlineLevel="0" collapsed="false">
      <c r="A326" s="20"/>
      <c r="B326" s="20"/>
      <c r="C326" s="20"/>
      <c r="D326" s="20"/>
      <c r="E326" s="20"/>
      <c r="F326" s="20"/>
      <c r="G326" s="21"/>
      <c r="H326" s="20"/>
      <c r="I326" s="20"/>
      <c r="J326" s="22"/>
      <c r="K326" s="20"/>
    </row>
    <row r="327" customFormat="false" ht="15" hidden="false" customHeight="false" outlineLevel="0" collapsed="false">
      <c r="A327" s="20"/>
      <c r="B327" s="20"/>
      <c r="C327" s="20"/>
      <c r="D327" s="20"/>
      <c r="E327" s="20"/>
      <c r="F327" s="20"/>
      <c r="G327" s="21"/>
      <c r="H327" s="20"/>
      <c r="I327" s="20"/>
      <c r="J327" s="22"/>
      <c r="K327" s="20"/>
    </row>
    <row r="328" customFormat="false" ht="15" hidden="false" customHeight="false" outlineLevel="0" collapsed="false">
      <c r="A328" s="20"/>
      <c r="B328" s="20"/>
      <c r="C328" s="20"/>
      <c r="D328" s="20"/>
      <c r="E328" s="20"/>
      <c r="F328" s="20"/>
      <c r="G328" s="21"/>
      <c r="H328" s="20"/>
      <c r="I328" s="20"/>
      <c r="J328" s="22"/>
      <c r="K328" s="20"/>
    </row>
    <row r="329" customFormat="false" ht="15" hidden="false" customHeight="false" outlineLevel="0" collapsed="false">
      <c r="A329" s="20"/>
      <c r="B329" s="20"/>
      <c r="C329" s="20"/>
      <c r="D329" s="20"/>
      <c r="E329" s="20"/>
      <c r="F329" s="20"/>
      <c r="G329" s="21"/>
      <c r="H329" s="20"/>
      <c r="I329" s="20"/>
      <c r="J329" s="22"/>
      <c r="K329" s="20"/>
    </row>
    <row r="330" customFormat="false" ht="15" hidden="false" customHeight="false" outlineLevel="0" collapsed="false">
      <c r="A330" s="20"/>
      <c r="B330" s="20"/>
      <c r="C330" s="20"/>
      <c r="D330" s="20"/>
      <c r="E330" s="20"/>
      <c r="F330" s="20"/>
      <c r="G330" s="21"/>
      <c r="H330" s="20"/>
      <c r="I330" s="20"/>
      <c r="J330" s="22"/>
      <c r="K330" s="20"/>
    </row>
    <row r="331" customFormat="false" ht="15" hidden="false" customHeight="false" outlineLevel="0" collapsed="false">
      <c r="A331" s="20"/>
      <c r="B331" s="20"/>
      <c r="C331" s="20"/>
      <c r="D331" s="20"/>
      <c r="E331" s="20"/>
      <c r="F331" s="20"/>
      <c r="G331" s="21"/>
      <c r="H331" s="20"/>
      <c r="I331" s="20"/>
      <c r="J331" s="22"/>
      <c r="K331" s="20"/>
    </row>
    <row r="332" customFormat="false" ht="15" hidden="false" customHeight="false" outlineLevel="0" collapsed="false">
      <c r="A332" s="20"/>
      <c r="B332" s="20"/>
      <c r="C332" s="20"/>
      <c r="D332" s="20"/>
      <c r="E332" s="20"/>
      <c r="F332" s="20"/>
      <c r="G332" s="21"/>
      <c r="H332" s="20"/>
      <c r="I332" s="20"/>
      <c r="J332" s="22"/>
      <c r="K332" s="20"/>
    </row>
    <row r="333" customFormat="false" ht="15" hidden="false" customHeight="false" outlineLevel="0" collapsed="false">
      <c r="A333" s="20"/>
      <c r="B333" s="20"/>
      <c r="C333" s="20"/>
      <c r="D333" s="20"/>
      <c r="E333" s="20"/>
      <c r="F333" s="20"/>
      <c r="G333" s="21"/>
      <c r="H333" s="20"/>
      <c r="I333" s="20"/>
      <c r="J333" s="22"/>
      <c r="K333" s="20"/>
    </row>
    <row r="334" customFormat="false" ht="15" hidden="false" customHeight="false" outlineLevel="0" collapsed="false">
      <c r="A334" s="20"/>
      <c r="B334" s="20"/>
      <c r="C334" s="20"/>
      <c r="D334" s="20"/>
      <c r="E334" s="20"/>
      <c r="F334" s="20"/>
      <c r="G334" s="21"/>
      <c r="H334" s="20"/>
      <c r="I334" s="20"/>
      <c r="J334" s="22"/>
      <c r="K334" s="20"/>
    </row>
    <row r="335" customFormat="false" ht="15" hidden="false" customHeight="false" outlineLevel="0" collapsed="false">
      <c r="A335" s="20"/>
      <c r="B335" s="20"/>
      <c r="C335" s="20"/>
      <c r="D335" s="20"/>
      <c r="E335" s="20"/>
      <c r="F335" s="20"/>
      <c r="G335" s="21"/>
      <c r="H335" s="20"/>
      <c r="I335" s="20"/>
      <c r="J335" s="22"/>
      <c r="K335" s="20"/>
    </row>
    <row r="336" customFormat="false" ht="15" hidden="false" customHeight="false" outlineLevel="0" collapsed="false">
      <c r="A336" s="20"/>
      <c r="B336" s="20"/>
      <c r="C336" s="20"/>
      <c r="D336" s="20"/>
      <c r="E336" s="20"/>
      <c r="F336" s="20"/>
      <c r="G336" s="21"/>
      <c r="H336" s="20"/>
      <c r="I336" s="20"/>
      <c r="J336" s="22"/>
      <c r="K336" s="20"/>
    </row>
    <row r="337" customFormat="false" ht="15" hidden="false" customHeight="false" outlineLevel="0" collapsed="false">
      <c r="A337" s="20"/>
      <c r="B337" s="20"/>
      <c r="C337" s="20"/>
      <c r="D337" s="20"/>
      <c r="E337" s="20"/>
      <c r="F337" s="20"/>
      <c r="G337" s="21"/>
      <c r="H337" s="20"/>
      <c r="I337" s="20"/>
      <c r="J337" s="22"/>
      <c r="K337" s="20"/>
    </row>
    <row r="338" customFormat="false" ht="15" hidden="false" customHeight="false" outlineLevel="0" collapsed="false">
      <c r="A338" s="20"/>
      <c r="B338" s="20"/>
      <c r="C338" s="20"/>
      <c r="D338" s="20"/>
      <c r="E338" s="20"/>
      <c r="F338" s="20"/>
      <c r="G338" s="21"/>
      <c r="H338" s="20"/>
      <c r="I338" s="20"/>
      <c r="J338" s="22"/>
      <c r="K338" s="20"/>
    </row>
    <row r="339" customFormat="false" ht="15" hidden="false" customHeight="false" outlineLevel="0" collapsed="false">
      <c r="A339" s="20"/>
      <c r="B339" s="20"/>
      <c r="C339" s="20"/>
      <c r="D339" s="20"/>
      <c r="E339" s="20"/>
      <c r="F339" s="20"/>
      <c r="G339" s="21"/>
      <c r="H339" s="20"/>
      <c r="I339" s="20"/>
      <c r="J339" s="22"/>
      <c r="K339" s="20"/>
    </row>
    <row r="340" customFormat="false" ht="15" hidden="false" customHeight="false" outlineLevel="0" collapsed="false">
      <c r="A340" s="20"/>
      <c r="B340" s="20"/>
      <c r="C340" s="20"/>
      <c r="D340" s="20"/>
      <c r="E340" s="20"/>
      <c r="F340" s="20"/>
      <c r="G340" s="21"/>
      <c r="H340" s="20"/>
      <c r="I340" s="20"/>
      <c r="J340" s="22"/>
      <c r="K340" s="20"/>
    </row>
    <row r="341" customFormat="false" ht="15" hidden="false" customHeight="false" outlineLevel="0" collapsed="false">
      <c r="A341" s="20"/>
      <c r="B341" s="20"/>
      <c r="C341" s="20"/>
      <c r="D341" s="20"/>
      <c r="E341" s="20"/>
      <c r="F341" s="20"/>
      <c r="G341" s="21"/>
      <c r="H341" s="20"/>
      <c r="I341" s="20"/>
      <c r="J341" s="22"/>
      <c r="K341" s="20"/>
    </row>
    <row r="342" customFormat="false" ht="15" hidden="false" customHeight="false" outlineLevel="0" collapsed="false">
      <c r="A342" s="20"/>
      <c r="B342" s="20"/>
      <c r="C342" s="20"/>
      <c r="D342" s="20"/>
      <c r="E342" s="20"/>
      <c r="F342" s="20"/>
      <c r="G342" s="21"/>
      <c r="H342" s="20"/>
      <c r="I342" s="20"/>
      <c r="J342" s="22"/>
      <c r="K342" s="20"/>
    </row>
    <row r="343" customFormat="false" ht="15" hidden="false" customHeight="false" outlineLevel="0" collapsed="false">
      <c r="A343" s="20"/>
      <c r="B343" s="20"/>
      <c r="C343" s="20"/>
      <c r="D343" s="20"/>
      <c r="E343" s="20"/>
      <c r="F343" s="20"/>
      <c r="G343" s="21"/>
      <c r="H343" s="20"/>
      <c r="I343" s="20"/>
      <c r="J343" s="22"/>
      <c r="K343" s="20"/>
    </row>
    <row r="344" customFormat="false" ht="15" hidden="false" customHeight="false" outlineLevel="0" collapsed="false">
      <c r="A344" s="20"/>
      <c r="B344" s="20"/>
      <c r="C344" s="20"/>
      <c r="D344" s="20"/>
      <c r="E344" s="20"/>
      <c r="F344" s="20"/>
      <c r="G344" s="21"/>
      <c r="H344" s="20"/>
      <c r="I344" s="20"/>
      <c r="J344" s="22"/>
      <c r="K344" s="20"/>
    </row>
    <row r="345" customFormat="false" ht="15" hidden="false" customHeight="false" outlineLevel="0" collapsed="false">
      <c r="A345" s="20"/>
      <c r="B345" s="20"/>
      <c r="C345" s="20"/>
      <c r="D345" s="20"/>
      <c r="E345" s="20"/>
      <c r="F345" s="20"/>
      <c r="G345" s="21"/>
      <c r="H345" s="20"/>
      <c r="I345" s="20"/>
      <c r="J345" s="22"/>
      <c r="K345" s="20"/>
    </row>
    <row r="346" customFormat="false" ht="15" hidden="false" customHeight="false" outlineLevel="0" collapsed="false">
      <c r="A346" s="20"/>
      <c r="B346" s="20"/>
      <c r="C346" s="20"/>
      <c r="D346" s="20"/>
      <c r="E346" s="20"/>
      <c r="F346" s="20"/>
      <c r="G346" s="21"/>
      <c r="H346" s="20"/>
      <c r="I346" s="20"/>
      <c r="J346" s="22"/>
      <c r="K346" s="20"/>
    </row>
    <row r="347" customFormat="false" ht="15" hidden="false" customHeight="false" outlineLevel="0" collapsed="false">
      <c r="A347" s="20"/>
      <c r="B347" s="20"/>
      <c r="C347" s="20"/>
      <c r="D347" s="20"/>
      <c r="E347" s="20"/>
      <c r="F347" s="20"/>
      <c r="G347" s="21"/>
      <c r="H347" s="20"/>
      <c r="I347" s="20"/>
      <c r="J347" s="22"/>
      <c r="K347" s="20"/>
    </row>
    <row r="348" customFormat="false" ht="15" hidden="false" customHeight="false" outlineLevel="0" collapsed="false">
      <c r="A348" s="20"/>
      <c r="B348" s="20"/>
      <c r="C348" s="20"/>
      <c r="D348" s="20"/>
      <c r="E348" s="20"/>
      <c r="F348" s="20"/>
      <c r="G348" s="21"/>
      <c r="H348" s="20"/>
      <c r="I348" s="20"/>
      <c r="J348" s="22"/>
      <c r="K348" s="20"/>
    </row>
    <row r="349" customFormat="false" ht="15" hidden="false" customHeight="false" outlineLevel="0" collapsed="false">
      <c r="A349" s="20"/>
      <c r="B349" s="20"/>
      <c r="C349" s="20"/>
      <c r="D349" s="20"/>
      <c r="E349" s="20"/>
      <c r="F349" s="20"/>
      <c r="G349" s="21"/>
      <c r="H349" s="20"/>
      <c r="I349" s="20"/>
      <c r="J349" s="22"/>
      <c r="K349" s="20"/>
    </row>
    <row r="350" customFormat="false" ht="15" hidden="false" customHeight="false" outlineLevel="0" collapsed="false">
      <c r="A350" s="20"/>
      <c r="B350" s="20"/>
      <c r="C350" s="20"/>
      <c r="D350" s="20"/>
      <c r="E350" s="20"/>
      <c r="F350" s="20"/>
      <c r="G350" s="21"/>
      <c r="H350" s="20"/>
      <c r="I350" s="20"/>
      <c r="J350" s="22"/>
      <c r="K350" s="20"/>
    </row>
    <row r="351" customFormat="false" ht="15" hidden="false" customHeight="false" outlineLevel="0" collapsed="false">
      <c r="A351" s="20"/>
      <c r="B351" s="20"/>
      <c r="C351" s="20"/>
      <c r="D351" s="20"/>
      <c r="E351" s="20"/>
      <c r="F351" s="20"/>
      <c r="G351" s="21"/>
      <c r="H351" s="20"/>
      <c r="I351" s="20"/>
      <c r="J351" s="22"/>
      <c r="K351" s="20"/>
    </row>
    <row r="352" customFormat="false" ht="15" hidden="false" customHeight="false" outlineLevel="0" collapsed="false">
      <c r="A352" s="20"/>
      <c r="B352" s="20"/>
      <c r="C352" s="20"/>
      <c r="D352" s="20"/>
      <c r="E352" s="20"/>
      <c r="F352" s="20"/>
      <c r="G352" s="21"/>
      <c r="H352" s="20"/>
      <c r="I352" s="20"/>
      <c r="J352" s="22"/>
      <c r="K352" s="20"/>
    </row>
    <row r="353" customFormat="false" ht="15" hidden="false" customHeight="false" outlineLevel="0" collapsed="false">
      <c r="A353" s="20"/>
      <c r="B353" s="20"/>
      <c r="C353" s="20"/>
      <c r="D353" s="20"/>
      <c r="E353" s="20"/>
      <c r="F353" s="20"/>
      <c r="G353" s="21"/>
      <c r="H353" s="20"/>
      <c r="I353" s="20"/>
      <c r="J353" s="22"/>
      <c r="K353" s="20"/>
    </row>
    <row r="354" customFormat="false" ht="15" hidden="false" customHeight="false" outlineLevel="0" collapsed="false">
      <c r="A354" s="20"/>
      <c r="B354" s="20"/>
      <c r="C354" s="20"/>
      <c r="D354" s="20"/>
      <c r="E354" s="20"/>
      <c r="F354" s="20"/>
      <c r="G354" s="21"/>
      <c r="H354" s="20"/>
      <c r="I354" s="20"/>
      <c r="J354" s="22"/>
      <c r="K354" s="20"/>
    </row>
    <row r="355" customFormat="false" ht="15" hidden="false" customHeight="false" outlineLevel="0" collapsed="false">
      <c r="A355" s="20"/>
      <c r="B355" s="20"/>
      <c r="C355" s="20"/>
      <c r="D355" s="20"/>
      <c r="E355" s="20"/>
      <c r="F355" s="20"/>
      <c r="G355" s="21"/>
      <c r="H355" s="20"/>
      <c r="I355" s="20"/>
      <c r="J355" s="22"/>
      <c r="K355" s="20"/>
    </row>
    <row r="356" customFormat="false" ht="15" hidden="false" customHeight="false" outlineLevel="0" collapsed="false">
      <c r="A356" s="20"/>
      <c r="B356" s="20"/>
      <c r="C356" s="20"/>
      <c r="D356" s="20"/>
      <c r="E356" s="20"/>
      <c r="F356" s="20"/>
      <c r="G356" s="21"/>
      <c r="H356" s="20"/>
      <c r="I356" s="20"/>
      <c r="J356" s="22"/>
      <c r="K356" s="20"/>
    </row>
    <row r="357" customFormat="false" ht="15" hidden="false" customHeight="false" outlineLevel="0" collapsed="false">
      <c r="A357" s="20"/>
      <c r="B357" s="20"/>
      <c r="C357" s="20"/>
      <c r="D357" s="20"/>
      <c r="E357" s="20"/>
      <c r="F357" s="20"/>
      <c r="G357" s="21"/>
      <c r="H357" s="20"/>
      <c r="I357" s="20"/>
      <c r="J357" s="22"/>
      <c r="K357" s="20"/>
    </row>
    <row r="358" customFormat="false" ht="15" hidden="false" customHeight="false" outlineLevel="0" collapsed="false">
      <c r="A358" s="20"/>
      <c r="B358" s="20"/>
      <c r="C358" s="20"/>
      <c r="D358" s="20"/>
      <c r="E358" s="20"/>
      <c r="F358" s="20"/>
      <c r="G358" s="21"/>
      <c r="H358" s="20"/>
      <c r="I358" s="20"/>
      <c r="J358" s="22"/>
      <c r="K358" s="20"/>
    </row>
    <row r="359" customFormat="false" ht="15" hidden="false" customHeight="false" outlineLevel="0" collapsed="false">
      <c r="A359" s="20"/>
      <c r="B359" s="20"/>
      <c r="C359" s="20"/>
      <c r="D359" s="20"/>
      <c r="E359" s="20"/>
      <c r="F359" s="20"/>
      <c r="G359" s="21"/>
      <c r="H359" s="20"/>
      <c r="I359" s="20"/>
      <c r="J359" s="22"/>
      <c r="K359" s="20"/>
    </row>
    <row r="360" customFormat="false" ht="15" hidden="false" customHeight="false" outlineLevel="0" collapsed="false">
      <c r="A360" s="20"/>
      <c r="B360" s="20"/>
      <c r="C360" s="20"/>
      <c r="D360" s="20"/>
      <c r="E360" s="20"/>
      <c r="F360" s="20"/>
      <c r="G360" s="21"/>
      <c r="H360" s="20"/>
      <c r="I360" s="20"/>
      <c r="J360" s="22"/>
      <c r="K360" s="20"/>
    </row>
    <row r="361" customFormat="false" ht="15" hidden="false" customHeight="false" outlineLevel="0" collapsed="false">
      <c r="A361" s="20"/>
      <c r="B361" s="20"/>
      <c r="C361" s="20"/>
      <c r="D361" s="20"/>
      <c r="E361" s="20"/>
      <c r="F361" s="20"/>
      <c r="G361" s="21"/>
      <c r="H361" s="20"/>
      <c r="I361" s="20"/>
      <c r="J361" s="22"/>
      <c r="K361" s="20"/>
    </row>
    <row r="362" customFormat="false" ht="15" hidden="false" customHeight="false" outlineLevel="0" collapsed="false">
      <c r="A362" s="20"/>
      <c r="B362" s="20"/>
      <c r="C362" s="20"/>
      <c r="D362" s="20"/>
      <c r="E362" s="20"/>
      <c r="F362" s="20"/>
      <c r="G362" s="21"/>
      <c r="H362" s="20"/>
      <c r="I362" s="20"/>
      <c r="J362" s="22"/>
      <c r="K362" s="20"/>
    </row>
    <row r="363" customFormat="false" ht="15" hidden="false" customHeight="false" outlineLevel="0" collapsed="false">
      <c r="A363" s="20"/>
      <c r="B363" s="20"/>
      <c r="C363" s="20"/>
      <c r="D363" s="20"/>
      <c r="E363" s="20"/>
      <c r="F363" s="20"/>
      <c r="G363" s="21"/>
      <c r="H363" s="20"/>
      <c r="I363" s="20"/>
      <c r="J363" s="22"/>
      <c r="K363" s="20"/>
    </row>
    <row r="364" customFormat="false" ht="15" hidden="false" customHeight="false" outlineLevel="0" collapsed="false">
      <c r="A364" s="20"/>
      <c r="B364" s="20"/>
      <c r="C364" s="20"/>
      <c r="D364" s="20"/>
      <c r="E364" s="20"/>
      <c r="F364" s="20"/>
      <c r="G364" s="21"/>
      <c r="H364" s="20"/>
      <c r="I364" s="20"/>
      <c r="J364" s="22"/>
      <c r="K364" s="20"/>
    </row>
    <row r="365" customFormat="false" ht="15" hidden="false" customHeight="false" outlineLevel="0" collapsed="false">
      <c r="A365" s="20"/>
      <c r="B365" s="20"/>
      <c r="C365" s="20"/>
      <c r="D365" s="20"/>
      <c r="E365" s="20"/>
      <c r="F365" s="20"/>
      <c r="G365" s="21"/>
      <c r="H365" s="20"/>
      <c r="I365" s="20"/>
      <c r="J365" s="22"/>
      <c r="K365" s="20"/>
    </row>
    <row r="366" customFormat="false" ht="15" hidden="false" customHeight="false" outlineLevel="0" collapsed="false">
      <c r="A366" s="20"/>
      <c r="B366" s="20"/>
      <c r="C366" s="20"/>
      <c r="D366" s="20"/>
      <c r="E366" s="20"/>
      <c r="F366" s="20"/>
      <c r="G366" s="21"/>
      <c r="H366" s="20"/>
      <c r="I366" s="20"/>
      <c r="J366" s="22"/>
      <c r="K366" s="20"/>
    </row>
    <row r="367" customFormat="false" ht="15" hidden="false" customHeight="false" outlineLevel="0" collapsed="false">
      <c r="A367" s="20"/>
      <c r="B367" s="20"/>
      <c r="C367" s="20"/>
      <c r="D367" s="20"/>
      <c r="E367" s="20"/>
      <c r="F367" s="20"/>
      <c r="G367" s="21"/>
      <c r="H367" s="20"/>
      <c r="I367" s="20"/>
      <c r="J367" s="22"/>
      <c r="K367" s="20"/>
    </row>
    <row r="368" customFormat="false" ht="15" hidden="false" customHeight="false" outlineLevel="0" collapsed="false">
      <c r="A368" s="20"/>
      <c r="B368" s="20"/>
      <c r="C368" s="20"/>
      <c r="D368" s="20"/>
      <c r="E368" s="20"/>
      <c r="F368" s="20"/>
      <c r="G368" s="21"/>
      <c r="H368" s="20"/>
      <c r="I368" s="20"/>
      <c r="J368" s="22"/>
      <c r="K368" s="20"/>
    </row>
    <row r="369" customFormat="false" ht="15" hidden="false" customHeight="false" outlineLevel="0" collapsed="false">
      <c r="A369" s="20"/>
      <c r="B369" s="20"/>
      <c r="C369" s="20"/>
      <c r="D369" s="20"/>
      <c r="E369" s="20"/>
      <c r="F369" s="20"/>
      <c r="G369" s="21"/>
      <c r="H369" s="20"/>
      <c r="I369" s="20"/>
      <c r="J369" s="22"/>
      <c r="K369" s="20"/>
    </row>
    <row r="370" customFormat="false" ht="15" hidden="false" customHeight="false" outlineLevel="0" collapsed="false">
      <c r="A370" s="20"/>
      <c r="B370" s="20"/>
      <c r="C370" s="20"/>
      <c r="D370" s="20"/>
      <c r="E370" s="20"/>
      <c r="F370" s="20"/>
      <c r="G370" s="21"/>
      <c r="H370" s="20"/>
      <c r="I370" s="20"/>
      <c r="J370" s="22"/>
      <c r="K370" s="20"/>
    </row>
    <row r="371" customFormat="false" ht="15" hidden="false" customHeight="false" outlineLevel="0" collapsed="false">
      <c r="A371" s="20"/>
      <c r="B371" s="20"/>
      <c r="C371" s="20"/>
      <c r="D371" s="20"/>
      <c r="E371" s="20"/>
      <c r="F371" s="20"/>
      <c r="G371" s="21"/>
      <c r="H371" s="20"/>
      <c r="I371" s="20"/>
      <c r="J371" s="22"/>
      <c r="K371" s="20"/>
    </row>
    <row r="372" customFormat="false" ht="15" hidden="false" customHeight="false" outlineLevel="0" collapsed="false">
      <c r="A372" s="20"/>
      <c r="B372" s="20"/>
      <c r="C372" s="20"/>
      <c r="D372" s="20"/>
      <c r="E372" s="20"/>
      <c r="F372" s="20"/>
      <c r="G372" s="21"/>
      <c r="H372" s="20"/>
      <c r="I372" s="20"/>
      <c r="J372" s="22"/>
      <c r="K372" s="20"/>
    </row>
    <row r="373" customFormat="false" ht="15" hidden="false" customHeight="false" outlineLevel="0" collapsed="false">
      <c r="A373" s="20"/>
      <c r="B373" s="20"/>
      <c r="C373" s="20"/>
      <c r="D373" s="20"/>
      <c r="E373" s="20"/>
      <c r="F373" s="20"/>
      <c r="G373" s="21"/>
      <c r="H373" s="20"/>
      <c r="I373" s="20"/>
      <c r="J373" s="22"/>
      <c r="K373" s="20"/>
    </row>
    <row r="374" customFormat="false" ht="15" hidden="false" customHeight="false" outlineLevel="0" collapsed="false">
      <c r="A374" s="20"/>
      <c r="B374" s="20"/>
      <c r="C374" s="20"/>
      <c r="D374" s="20"/>
      <c r="E374" s="20"/>
      <c r="F374" s="20"/>
      <c r="G374" s="21"/>
      <c r="H374" s="20"/>
      <c r="I374" s="20"/>
      <c r="J374" s="22"/>
      <c r="K374" s="20"/>
    </row>
    <row r="375" customFormat="false" ht="15" hidden="false" customHeight="false" outlineLevel="0" collapsed="false">
      <c r="A375" s="20"/>
      <c r="B375" s="20"/>
      <c r="C375" s="20"/>
      <c r="D375" s="20"/>
      <c r="E375" s="20"/>
      <c r="F375" s="20"/>
      <c r="G375" s="21"/>
      <c r="H375" s="20"/>
      <c r="I375" s="20"/>
      <c r="J375" s="22"/>
      <c r="K375" s="20"/>
    </row>
    <row r="376" customFormat="false" ht="15" hidden="false" customHeight="false" outlineLevel="0" collapsed="false">
      <c r="A376" s="20"/>
      <c r="B376" s="20"/>
      <c r="C376" s="20"/>
      <c r="D376" s="20"/>
      <c r="E376" s="20"/>
      <c r="F376" s="20"/>
      <c r="G376" s="21"/>
      <c r="H376" s="20"/>
      <c r="I376" s="20"/>
      <c r="J376" s="22"/>
      <c r="K376" s="20"/>
    </row>
    <row r="377" customFormat="false" ht="15" hidden="false" customHeight="false" outlineLevel="0" collapsed="false">
      <c r="A377" s="20"/>
      <c r="B377" s="20"/>
      <c r="C377" s="20"/>
      <c r="D377" s="20"/>
      <c r="E377" s="20"/>
      <c r="F377" s="20"/>
      <c r="G377" s="21"/>
      <c r="H377" s="20"/>
      <c r="I377" s="20"/>
      <c r="J377" s="22"/>
      <c r="K377" s="20"/>
    </row>
    <row r="378" customFormat="false" ht="15" hidden="false" customHeight="false" outlineLevel="0" collapsed="false">
      <c r="A378" s="20"/>
      <c r="B378" s="20"/>
      <c r="C378" s="20"/>
      <c r="D378" s="20"/>
      <c r="E378" s="20"/>
      <c r="F378" s="20"/>
      <c r="G378" s="21"/>
      <c r="H378" s="20"/>
      <c r="I378" s="20"/>
      <c r="J378" s="22"/>
      <c r="K378" s="20"/>
    </row>
    <row r="379" customFormat="false" ht="15" hidden="false" customHeight="false" outlineLevel="0" collapsed="false">
      <c r="A379" s="20"/>
      <c r="B379" s="20"/>
      <c r="C379" s="20"/>
      <c r="D379" s="20"/>
      <c r="E379" s="20"/>
      <c r="F379" s="20"/>
      <c r="G379" s="21"/>
      <c r="H379" s="20"/>
      <c r="I379" s="20"/>
      <c r="J379" s="22"/>
      <c r="K379" s="20"/>
    </row>
    <row r="380" customFormat="false" ht="15" hidden="false" customHeight="false" outlineLevel="0" collapsed="false">
      <c r="A380" s="20"/>
      <c r="B380" s="20"/>
      <c r="C380" s="20"/>
      <c r="D380" s="20"/>
      <c r="E380" s="20"/>
      <c r="F380" s="20"/>
      <c r="G380" s="21"/>
      <c r="H380" s="20"/>
      <c r="I380" s="20"/>
      <c r="J380" s="22"/>
      <c r="K380" s="20"/>
    </row>
    <row r="381" customFormat="false" ht="15" hidden="false" customHeight="false" outlineLevel="0" collapsed="false">
      <c r="A381" s="20"/>
      <c r="B381" s="20"/>
      <c r="C381" s="20"/>
      <c r="D381" s="20"/>
      <c r="E381" s="20"/>
      <c r="F381" s="20"/>
      <c r="G381" s="21"/>
      <c r="H381" s="20"/>
      <c r="I381" s="20"/>
      <c r="J381" s="22"/>
      <c r="K381" s="20"/>
    </row>
    <row r="382" customFormat="false" ht="15" hidden="false" customHeight="false" outlineLevel="0" collapsed="false">
      <c r="A382" s="20"/>
      <c r="B382" s="20"/>
      <c r="C382" s="20"/>
      <c r="D382" s="20"/>
      <c r="E382" s="20"/>
      <c r="F382" s="20"/>
      <c r="G382" s="21"/>
      <c r="H382" s="20"/>
      <c r="I382" s="20"/>
      <c r="J382" s="22"/>
      <c r="K382" s="20"/>
    </row>
    <row r="383" customFormat="false" ht="15" hidden="false" customHeight="false" outlineLevel="0" collapsed="false">
      <c r="A383" s="20"/>
      <c r="B383" s="20"/>
      <c r="C383" s="20"/>
      <c r="D383" s="20"/>
      <c r="E383" s="20"/>
      <c r="F383" s="20"/>
      <c r="G383" s="21"/>
      <c r="H383" s="20"/>
      <c r="I383" s="20"/>
      <c r="J383" s="22"/>
      <c r="K383" s="20"/>
    </row>
    <row r="384" customFormat="false" ht="15" hidden="false" customHeight="false" outlineLevel="0" collapsed="false">
      <c r="A384" s="20"/>
      <c r="B384" s="20"/>
      <c r="C384" s="20"/>
      <c r="D384" s="20"/>
      <c r="E384" s="20"/>
      <c r="F384" s="20"/>
      <c r="G384" s="21"/>
      <c r="H384" s="20"/>
      <c r="I384" s="20"/>
      <c r="J384" s="22"/>
      <c r="K384" s="20"/>
    </row>
    <row r="385" customFormat="false" ht="15" hidden="false" customHeight="false" outlineLevel="0" collapsed="false">
      <c r="A385" s="20"/>
      <c r="B385" s="20"/>
      <c r="C385" s="20"/>
      <c r="D385" s="20"/>
      <c r="E385" s="20"/>
      <c r="F385" s="20"/>
      <c r="G385" s="21"/>
      <c r="H385" s="20"/>
      <c r="I385" s="20"/>
      <c r="J385" s="22"/>
      <c r="K385" s="20"/>
    </row>
    <row r="386" customFormat="false" ht="15" hidden="false" customHeight="false" outlineLevel="0" collapsed="false">
      <c r="A386" s="20"/>
      <c r="B386" s="20"/>
      <c r="C386" s="20"/>
      <c r="D386" s="20"/>
      <c r="E386" s="20"/>
      <c r="F386" s="20"/>
      <c r="G386" s="21"/>
      <c r="H386" s="20"/>
      <c r="I386" s="20"/>
      <c r="J386" s="22"/>
      <c r="K386" s="20"/>
    </row>
    <row r="387" customFormat="false" ht="15" hidden="false" customHeight="false" outlineLevel="0" collapsed="false">
      <c r="A387" s="20"/>
      <c r="B387" s="20"/>
      <c r="C387" s="20"/>
      <c r="D387" s="20"/>
      <c r="E387" s="20"/>
      <c r="F387" s="20"/>
      <c r="G387" s="21"/>
      <c r="H387" s="20"/>
      <c r="I387" s="20"/>
      <c r="J387" s="22"/>
      <c r="K387" s="20"/>
    </row>
    <row r="388" customFormat="false" ht="15" hidden="false" customHeight="false" outlineLevel="0" collapsed="false">
      <c r="A388" s="20"/>
      <c r="B388" s="20"/>
      <c r="C388" s="20"/>
      <c r="D388" s="20"/>
      <c r="E388" s="20"/>
      <c r="F388" s="20"/>
      <c r="G388" s="21"/>
      <c r="H388" s="20"/>
      <c r="I388" s="20"/>
      <c r="J388" s="22"/>
      <c r="K388" s="20"/>
    </row>
    <row r="389" customFormat="false" ht="15" hidden="false" customHeight="false" outlineLevel="0" collapsed="false">
      <c r="A389" s="20"/>
      <c r="B389" s="20"/>
      <c r="C389" s="20"/>
      <c r="D389" s="20"/>
      <c r="E389" s="20"/>
      <c r="F389" s="20"/>
      <c r="G389" s="21"/>
      <c r="H389" s="20"/>
      <c r="I389" s="20"/>
      <c r="J389" s="22"/>
      <c r="K389" s="20"/>
    </row>
    <row r="390" customFormat="false" ht="15" hidden="false" customHeight="false" outlineLevel="0" collapsed="false">
      <c r="A390" s="20"/>
      <c r="B390" s="20"/>
      <c r="C390" s="20"/>
      <c r="D390" s="20"/>
      <c r="E390" s="20"/>
      <c r="F390" s="20"/>
      <c r="G390" s="21"/>
      <c r="H390" s="20"/>
      <c r="I390" s="20"/>
      <c r="J390" s="22"/>
      <c r="K390" s="20"/>
    </row>
    <row r="391" customFormat="false" ht="15" hidden="false" customHeight="false" outlineLevel="0" collapsed="false">
      <c r="A391" s="20"/>
      <c r="B391" s="20"/>
      <c r="C391" s="20"/>
      <c r="D391" s="20"/>
      <c r="E391" s="20"/>
      <c r="F391" s="20"/>
      <c r="G391" s="21"/>
      <c r="H391" s="20"/>
      <c r="I391" s="20"/>
      <c r="J391" s="22"/>
      <c r="K391" s="20"/>
    </row>
    <row r="392" customFormat="false" ht="15" hidden="false" customHeight="false" outlineLevel="0" collapsed="false">
      <c r="A392" s="20"/>
      <c r="B392" s="20"/>
      <c r="C392" s="20"/>
      <c r="D392" s="20"/>
      <c r="E392" s="20"/>
      <c r="F392" s="20"/>
      <c r="G392" s="21"/>
      <c r="H392" s="20"/>
      <c r="I392" s="20"/>
      <c r="J392" s="22"/>
      <c r="K392" s="20"/>
    </row>
    <row r="393" customFormat="false" ht="15" hidden="false" customHeight="false" outlineLevel="0" collapsed="false">
      <c r="A393" s="20"/>
      <c r="B393" s="20"/>
      <c r="C393" s="20"/>
      <c r="D393" s="20"/>
      <c r="E393" s="20"/>
      <c r="F393" s="20"/>
      <c r="G393" s="21"/>
      <c r="H393" s="20"/>
      <c r="I393" s="20"/>
      <c r="J393" s="22"/>
      <c r="K393" s="20"/>
    </row>
    <row r="394" customFormat="false" ht="15" hidden="false" customHeight="false" outlineLevel="0" collapsed="false">
      <c r="A394" s="20"/>
      <c r="B394" s="20"/>
      <c r="C394" s="20"/>
      <c r="D394" s="20"/>
      <c r="E394" s="20"/>
      <c r="F394" s="20"/>
      <c r="G394" s="21"/>
      <c r="H394" s="20"/>
      <c r="I394" s="20"/>
      <c r="J394" s="22"/>
      <c r="K394" s="20"/>
    </row>
    <row r="395" customFormat="false" ht="15" hidden="false" customHeight="false" outlineLevel="0" collapsed="false">
      <c r="A395" s="20"/>
      <c r="B395" s="20"/>
      <c r="C395" s="20"/>
      <c r="D395" s="20"/>
      <c r="E395" s="20"/>
      <c r="F395" s="20"/>
      <c r="G395" s="21"/>
      <c r="H395" s="20"/>
      <c r="I395" s="20"/>
      <c r="J395" s="22"/>
      <c r="K395" s="20"/>
    </row>
    <row r="396" customFormat="false" ht="15" hidden="false" customHeight="false" outlineLevel="0" collapsed="false">
      <c r="A396" s="20"/>
      <c r="B396" s="20"/>
      <c r="C396" s="20"/>
      <c r="D396" s="20"/>
      <c r="E396" s="20"/>
      <c r="F396" s="20"/>
      <c r="G396" s="21"/>
      <c r="H396" s="20"/>
      <c r="I396" s="20"/>
      <c r="J396" s="22"/>
      <c r="K396" s="20"/>
    </row>
    <row r="397" customFormat="false" ht="15" hidden="false" customHeight="false" outlineLevel="0" collapsed="false">
      <c r="A397" s="20"/>
      <c r="B397" s="20"/>
      <c r="C397" s="20"/>
      <c r="D397" s="20"/>
      <c r="E397" s="20"/>
      <c r="F397" s="20"/>
      <c r="G397" s="21"/>
      <c r="H397" s="20"/>
      <c r="I397" s="20"/>
      <c r="J397" s="22"/>
      <c r="K397" s="20"/>
    </row>
    <row r="398" customFormat="false" ht="15" hidden="false" customHeight="false" outlineLevel="0" collapsed="false">
      <c r="A398" s="20"/>
      <c r="B398" s="20"/>
      <c r="C398" s="20"/>
      <c r="D398" s="20"/>
      <c r="E398" s="20"/>
      <c r="F398" s="20"/>
      <c r="G398" s="21"/>
      <c r="H398" s="20"/>
      <c r="I398" s="20"/>
      <c r="J398" s="22"/>
      <c r="K398" s="20"/>
    </row>
    <row r="399" customFormat="false" ht="15" hidden="false" customHeight="false" outlineLevel="0" collapsed="false">
      <c r="A399" s="20"/>
      <c r="B399" s="20"/>
      <c r="C399" s="20"/>
      <c r="D399" s="20"/>
      <c r="E399" s="20"/>
      <c r="F399" s="20"/>
      <c r="G399" s="21"/>
      <c r="H399" s="20"/>
      <c r="I399" s="20"/>
      <c r="J399" s="22"/>
      <c r="K399" s="20"/>
    </row>
    <row r="400" customFormat="false" ht="15" hidden="false" customHeight="false" outlineLevel="0" collapsed="false">
      <c r="A400" s="20"/>
      <c r="B400" s="20"/>
      <c r="C400" s="20"/>
      <c r="D400" s="20"/>
      <c r="E400" s="20"/>
      <c r="F400" s="20"/>
      <c r="G400" s="21"/>
      <c r="H400" s="20"/>
      <c r="I400" s="20"/>
      <c r="J400" s="22"/>
      <c r="K400" s="20"/>
    </row>
    <row r="401" customFormat="false" ht="15" hidden="false" customHeight="false" outlineLevel="0" collapsed="false">
      <c r="A401" s="20"/>
      <c r="B401" s="20"/>
      <c r="C401" s="20"/>
      <c r="D401" s="20"/>
      <c r="E401" s="20"/>
      <c r="F401" s="20"/>
      <c r="G401" s="21"/>
      <c r="H401" s="20"/>
      <c r="I401" s="20"/>
      <c r="J401" s="22"/>
      <c r="K401" s="20"/>
    </row>
    <row r="402" customFormat="false" ht="15" hidden="false" customHeight="false" outlineLevel="0" collapsed="false">
      <c r="A402" s="20"/>
      <c r="B402" s="20"/>
      <c r="C402" s="20"/>
      <c r="D402" s="20"/>
      <c r="E402" s="20"/>
      <c r="F402" s="20"/>
      <c r="G402" s="21"/>
      <c r="H402" s="20"/>
      <c r="I402" s="20"/>
      <c r="J402" s="22"/>
      <c r="K402" s="20"/>
    </row>
    <row r="403" customFormat="false" ht="15" hidden="false" customHeight="false" outlineLevel="0" collapsed="false">
      <c r="A403" s="20"/>
      <c r="B403" s="20"/>
      <c r="C403" s="20"/>
      <c r="D403" s="20"/>
      <c r="E403" s="20"/>
      <c r="F403" s="20"/>
      <c r="G403" s="21"/>
      <c r="H403" s="20"/>
      <c r="I403" s="20"/>
      <c r="J403" s="22"/>
      <c r="K403" s="20"/>
    </row>
    <row r="404" customFormat="false" ht="15" hidden="false" customHeight="false" outlineLevel="0" collapsed="false">
      <c r="A404" s="20"/>
      <c r="B404" s="20"/>
      <c r="C404" s="20"/>
      <c r="D404" s="20"/>
      <c r="E404" s="20"/>
      <c r="F404" s="20"/>
      <c r="G404" s="21"/>
      <c r="H404" s="20"/>
      <c r="I404" s="20"/>
      <c r="J404" s="22"/>
      <c r="K404" s="20"/>
    </row>
    <row r="405" customFormat="false" ht="15" hidden="false" customHeight="false" outlineLevel="0" collapsed="false">
      <c r="A405" s="20"/>
      <c r="B405" s="20"/>
      <c r="C405" s="20"/>
      <c r="D405" s="20"/>
      <c r="E405" s="20"/>
      <c r="F405" s="20"/>
      <c r="G405" s="21"/>
      <c r="H405" s="20"/>
      <c r="I405" s="20"/>
      <c r="J405" s="22"/>
      <c r="K405" s="20"/>
    </row>
    <row r="406" customFormat="false" ht="15" hidden="false" customHeight="false" outlineLevel="0" collapsed="false">
      <c r="A406" s="20"/>
      <c r="B406" s="20"/>
      <c r="C406" s="20"/>
      <c r="D406" s="20"/>
      <c r="E406" s="20"/>
      <c r="F406" s="20"/>
      <c r="G406" s="21"/>
      <c r="H406" s="20"/>
      <c r="I406" s="20"/>
      <c r="J406" s="22"/>
      <c r="K406" s="20"/>
    </row>
    <row r="407" customFormat="false" ht="15" hidden="false" customHeight="false" outlineLevel="0" collapsed="false">
      <c r="A407" s="20"/>
      <c r="B407" s="20"/>
      <c r="C407" s="20"/>
      <c r="D407" s="20"/>
      <c r="E407" s="20"/>
      <c r="F407" s="20"/>
      <c r="G407" s="21"/>
      <c r="H407" s="20"/>
      <c r="I407" s="20"/>
      <c r="J407" s="22"/>
      <c r="K407" s="20"/>
    </row>
    <row r="408" customFormat="false" ht="15" hidden="false" customHeight="false" outlineLevel="0" collapsed="false">
      <c r="A408" s="20"/>
      <c r="B408" s="20"/>
      <c r="C408" s="20"/>
      <c r="D408" s="20"/>
      <c r="E408" s="20"/>
      <c r="F408" s="20"/>
      <c r="G408" s="21"/>
      <c r="H408" s="20"/>
      <c r="I408" s="20"/>
      <c r="J408" s="22"/>
      <c r="K408" s="20"/>
    </row>
    <row r="409" customFormat="false" ht="15" hidden="false" customHeight="false" outlineLevel="0" collapsed="false">
      <c r="A409" s="20"/>
      <c r="B409" s="20"/>
      <c r="C409" s="20"/>
      <c r="D409" s="20"/>
      <c r="E409" s="20"/>
      <c r="F409" s="20"/>
      <c r="G409" s="21"/>
      <c r="H409" s="20"/>
      <c r="I409" s="20"/>
      <c r="J409" s="22"/>
      <c r="K409" s="20"/>
    </row>
    <row r="410" customFormat="false" ht="15" hidden="false" customHeight="false" outlineLevel="0" collapsed="false">
      <c r="A410" s="20"/>
      <c r="B410" s="20"/>
      <c r="C410" s="20"/>
      <c r="D410" s="20"/>
      <c r="E410" s="20"/>
      <c r="F410" s="20"/>
      <c r="G410" s="21"/>
      <c r="H410" s="20"/>
      <c r="I410" s="20"/>
      <c r="J410" s="22"/>
      <c r="K410" s="20"/>
    </row>
    <row r="411" customFormat="false" ht="15" hidden="false" customHeight="false" outlineLevel="0" collapsed="false">
      <c r="A411" s="20"/>
      <c r="B411" s="20"/>
      <c r="C411" s="20"/>
      <c r="D411" s="20"/>
      <c r="E411" s="20"/>
      <c r="F411" s="20"/>
      <c r="G411" s="21"/>
      <c r="H411" s="20"/>
      <c r="I411" s="20"/>
      <c r="J411" s="22"/>
      <c r="K411" s="20"/>
    </row>
    <row r="412" customFormat="false" ht="15" hidden="false" customHeight="false" outlineLevel="0" collapsed="false">
      <c r="A412" s="20"/>
      <c r="B412" s="20"/>
      <c r="C412" s="20"/>
      <c r="D412" s="20"/>
      <c r="E412" s="20"/>
      <c r="F412" s="20"/>
      <c r="G412" s="21"/>
      <c r="H412" s="20"/>
      <c r="I412" s="20"/>
      <c r="J412" s="22"/>
      <c r="K412" s="20"/>
    </row>
    <row r="413" customFormat="false" ht="15" hidden="false" customHeight="false" outlineLevel="0" collapsed="false">
      <c r="A413" s="20"/>
      <c r="B413" s="20"/>
      <c r="C413" s="20"/>
      <c r="D413" s="20"/>
      <c r="E413" s="20"/>
      <c r="F413" s="20"/>
      <c r="G413" s="21"/>
      <c r="H413" s="20"/>
      <c r="I413" s="20"/>
      <c r="J413" s="22"/>
      <c r="K413" s="20"/>
    </row>
    <row r="414" customFormat="false" ht="15" hidden="false" customHeight="false" outlineLevel="0" collapsed="false">
      <c r="A414" s="20"/>
      <c r="B414" s="20"/>
      <c r="C414" s="20"/>
      <c r="D414" s="20"/>
      <c r="E414" s="20"/>
      <c r="F414" s="20"/>
      <c r="G414" s="21"/>
      <c r="H414" s="20"/>
      <c r="I414" s="20"/>
      <c r="J414" s="22"/>
      <c r="K414" s="20"/>
    </row>
    <row r="415" customFormat="false" ht="15" hidden="false" customHeight="false" outlineLevel="0" collapsed="false">
      <c r="A415" s="20"/>
      <c r="B415" s="20"/>
      <c r="C415" s="20"/>
      <c r="D415" s="20"/>
      <c r="E415" s="20"/>
      <c r="F415" s="20"/>
      <c r="G415" s="21"/>
      <c r="H415" s="20"/>
      <c r="I415" s="20"/>
      <c r="J415" s="22"/>
      <c r="K415" s="20"/>
    </row>
    <row r="416" customFormat="false" ht="15" hidden="false" customHeight="false" outlineLevel="0" collapsed="false">
      <c r="A416" s="20"/>
      <c r="B416" s="20"/>
      <c r="C416" s="20"/>
      <c r="D416" s="20"/>
      <c r="E416" s="20"/>
      <c r="F416" s="20"/>
      <c r="G416" s="21"/>
      <c r="H416" s="20"/>
      <c r="I416" s="20"/>
      <c r="J416" s="22"/>
      <c r="K416" s="20"/>
    </row>
    <row r="417" customFormat="false" ht="15" hidden="false" customHeight="false" outlineLevel="0" collapsed="false">
      <c r="A417" s="20"/>
      <c r="B417" s="20"/>
      <c r="C417" s="20"/>
      <c r="D417" s="20"/>
      <c r="E417" s="20"/>
      <c r="F417" s="20"/>
      <c r="G417" s="21"/>
      <c r="H417" s="20"/>
      <c r="I417" s="20"/>
      <c r="J417" s="22"/>
      <c r="K417" s="20"/>
    </row>
    <row r="418" customFormat="false" ht="15" hidden="false" customHeight="false" outlineLevel="0" collapsed="false">
      <c r="A418" s="20"/>
      <c r="B418" s="20"/>
      <c r="C418" s="20"/>
      <c r="D418" s="20"/>
      <c r="E418" s="20"/>
      <c r="F418" s="20"/>
      <c r="G418" s="21"/>
      <c r="H418" s="20"/>
      <c r="I418" s="20"/>
      <c r="J418" s="22"/>
      <c r="K418" s="20"/>
    </row>
    <row r="419" customFormat="false" ht="15" hidden="false" customHeight="false" outlineLevel="0" collapsed="false">
      <c r="A419" s="20"/>
      <c r="B419" s="20"/>
      <c r="C419" s="20"/>
      <c r="D419" s="20"/>
      <c r="E419" s="20"/>
      <c r="F419" s="20"/>
      <c r="G419" s="21"/>
      <c r="H419" s="20"/>
      <c r="I419" s="20"/>
      <c r="J419" s="22"/>
      <c r="K419" s="20"/>
    </row>
    <row r="420" customFormat="false" ht="15" hidden="false" customHeight="false" outlineLevel="0" collapsed="false">
      <c r="A420" s="20"/>
      <c r="B420" s="20"/>
      <c r="C420" s="20"/>
      <c r="D420" s="20"/>
      <c r="E420" s="20"/>
      <c r="F420" s="20"/>
      <c r="G420" s="21"/>
      <c r="H420" s="20"/>
      <c r="I420" s="20"/>
      <c r="J420" s="22"/>
      <c r="K420" s="20"/>
    </row>
    <row r="421" customFormat="false" ht="15" hidden="false" customHeight="false" outlineLevel="0" collapsed="false">
      <c r="A421" s="20"/>
      <c r="B421" s="20"/>
      <c r="C421" s="20"/>
      <c r="D421" s="20"/>
      <c r="E421" s="20"/>
      <c r="F421" s="20"/>
      <c r="G421" s="21"/>
      <c r="H421" s="20"/>
      <c r="I421" s="20"/>
      <c r="J421" s="22"/>
      <c r="K421" s="20"/>
    </row>
    <row r="422" customFormat="false" ht="15" hidden="false" customHeight="false" outlineLevel="0" collapsed="false">
      <c r="A422" s="20"/>
      <c r="B422" s="20"/>
      <c r="C422" s="20"/>
      <c r="D422" s="20"/>
      <c r="E422" s="20"/>
      <c r="F422" s="20"/>
      <c r="G422" s="21"/>
      <c r="H422" s="20"/>
      <c r="I422" s="20"/>
      <c r="J422" s="22"/>
      <c r="K422" s="20"/>
    </row>
    <row r="423" customFormat="false" ht="15" hidden="false" customHeight="false" outlineLevel="0" collapsed="false">
      <c r="A423" s="20"/>
      <c r="B423" s="20"/>
      <c r="C423" s="20"/>
      <c r="D423" s="20"/>
      <c r="E423" s="20"/>
      <c r="F423" s="20"/>
      <c r="G423" s="21"/>
      <c r="H423" s="20"/>
      <c r="I423" s="20"/>
      <c r="J423" s="22"/>
      <c r="K423" s="20"/>
    </row>
    <row r="424" customFormat="false" ht="15" hidden="false" customHeight="false" outlineLevel="0" collapsed="false">
      <c r="A424" s="20"/>
      <c r="B424" s="20"/>
      <c r="C424" s="20"/>
      <c r="D424" s="20"/>
      <c r="E424" s="20"/>
      <c r="F424" s="20"/>
      <c r="G424" s="21"/>
      <c r="H424" s="20"/>
      <c r="I424" s="20"/>
      <c r="J424" s="22"/>
      <c r="K424" s="20"/>
    </row>
    <row r="425" customFormat="false" ht="15" hidden="false" customHeight="false" outlineLevel="0" collapsed="false">
      <c r="A425" s="20"/>
      <c r="B425" s="20"/>
      <c r="C425" s="20"/>
      <c r="D425" s="20"/>
      <c r="E425" s="20"/>
      <c r="F425" s="20"/>
      <c r="G425" s="21"/>
      <c r="H425" s="20"/>
      <c r="I425" s="20"/>
      <c r="J425" s="22"/>
      <c r="K425" s="20"/>
    </row>
    <row r="426" customFormat="false" ht="15" hidden="false" customHeight="false" outlineLevel="0" collapsed="false">
      <c r="A426" s="20"/>
      <c r="B426" s="20"/>
      <c r="C426" s="20"/>
      <c r="D426" s="20"/>
      <c r="E426" s="20"/>
      <c r="F426" s="20"/>
      <c r="G426" s="21"/>
      <c r="H426" s="20"/>
      <c r="I426" s="20"/>
      <c r="J426" s="22"/>
      <c r="K426" s="20"/>
    </row>
    <row r="427" customFormat="false" ht="15" hidden="false" customHeight="false" outlineLevel="0" collapsed="false">
      <c r="A427" s="20"/>
      <c r="B427" s="20"/>
      <c r="C427" s="20"/>
      <c r="D427" s="20"/>
      <c r="E427" s="20"/>
      <c r="F427" s="20"/>
      <c r="G427" s="21"/>
      <c r="H427" s="20"/>
      <c r="I427" s="20"/>
      <c r="J427" s="22"/>
      <c r="K427" s="20"/>
    </row>
    <row r="428" customFormat="false" ht="15" hidden="false" customHeight="false" outlineLevel="0" collapsed="false">
      <c r="A428" s="20"/>
      <c r="B428" s="20"/>
      <c r="C428" s="20"/>
      <c r="D428" s="20"/>
      <c r="E428" s="20"/>
      <c r="F428" s="20"/>
      <c r="G428" s="21"/>
      <c r="H428" s="20"/>
      <c r="I428" s="20"/>
      <c r="J428" s="22"/>
      <c r="K428" s="20"/>
    </row>
    <row r="429" customFormat="false" ht="15" hidden="false" customHeight="false" outlineLevel="0" collapsed="false">
      <c r="A429" s="20"/>
      <c r="B429" s="20"/>
      <c r="C429" s="20"/>
      <c r="D429" s="20"/>
      <c r="E429" s="20"/>
      <c r="F429" s="20"/>
      <c r="G429" s="21"/>
      <c r="H429" s="20"/>
      <c r="I429" s="20"/>
      <c r="J429" s="22"/>
      <c r="K429" s="20"/>
    </row>
    <row r="430" customFormat="false" ht="15" hidden="false" customHeight="false" outlineLevel="0" collapsed="false">
      <c r="A430" s="20"/>
      <c r="B430" s="20"/>
      <c r="C430" s="20"/>
      <c r="D430" s="20"/>
      <c r="E430" s="20"/>
      <c r="F430" s="20"/>
      <c r="G430" s="21"/>
      <c r="H430" s="20"/>
      <c r="I430" s="20"/>
      <c r="J430" s="22"/>
      <c r="K430" s="20"/>
    </row>
    <row r="431" customFormat="false" ht="15" hidden="false" customHeight="false" outlineLevel="0" collapsed="false">
      <c r="A431" s="20"/>
      <c r="B431" s="20"/>
      <c r="C431" s="20"/>
      <c r="D431" s="20"/>
      <c r="E431" s="20"/>
      <c r="F431" s="20"/>
      <c r="G431" s="21"/>
      <c r="H431" s="20"/>
      <c r="I431" s="20"/>
      <c r="J431" s="22"/>
      <c r="K431" s="20"/>
    </row>
    <row r="432" customFormat="false" ht="15" hidden="false" customHeight="false" outlineLevel="0" collapsed="false">
      <c r="A432" s="20"/>
      <c r="B432" s="20"/>
      <c r="C432" s="20"/>
      <c r="D432" s="20"/>
      <c r="E432" s="20"/>
      <c r="F432" s="20"/>
      <c r="G432" s="21"/>
      <c r="H432" s="20"/>
      <c r="I432" s="20"/>
      <c r="J432" s="22"/>
      <c r="K432" s="20"/>
    </row>
    <row r="433" customFormat="false" ht="15" hidden="false" customHeight="false" outlineLevel="0" collapsed="false">
      <c r="A433" s="20"/>
      <c r="B433" s="20"/>
      <c r="C433" s="20"/>
      <c r="D433" s="20"/>
      <c r="E433" s="20"/>
      <c r="F433" s="20"/>
      <c r="G433" s="21"/>
      <c r="H433" s="20"/>
      <c r="I433" s="20"/>
      <c r="J433" s="22"/>
      <c r="K433" s="20"/>
    </row>
    <row r="434" customFormat="false" ht="15" hidden="false" customHeight="false" outlineLevel="0" collapsed="false">
      <c r="A434" s="20"/>
      <c r="B434" s="20"/>
      <c r="C434" s="20"/>
      <c r="D434" s="20"/>
      <c r="E434" s="20"/>
      <c r="F434" s="20"/>
      <c r="G434" s="21"/>
      <c r="H434" s="20"/>
      <c r="I434" s="20"/>
      <c r="J434" s="22"/>
      <c r="K434" s="20"/>
    </row>
    <row r="435" customFormat="false" ht="15" hidden="false" customHeight="false" outlineLevel="0" collapsed="false">
      <c r="A435" s="20"/>
      <c r="B435" s="20"/>
      <c r="C435" s="20"/>
      <c r="D435" s="20"/>
      <c r="E435" s="20"/>
      <c r="F435" s="20"/>
      <c r="G435" s="21"/>
      <c r="H435" s="20"/>
      <c r="I435" s="20"/>
      <c r="J435" s="22"/>
      <c r="K435" s="20"/>
    </row>
    <row r="436" customFormat="false" ht="15" hidden="false" customHeight="false" outlineLevel="0" collapsed="false">
      <c r="A436" s="20"/>
      <c r="B436" s="20"/>
      <c r="C436" s="20"/>
      <c r="D436" s="20"/>
      <c r="E436" s="20"/>
      <c r="F436" s="20"/>
      <c r="G436" s="21"/>
      <c r="H436" s="20"/>
      <c r="I436" s="20"/>
      <c r="J436" s="22"/>
      <c r="K436" s="20"/>
    </row>
    <row r="437" customFormat="false" ht="15" hidden="false" customHeight="false" outlineLevel="0" collapsed="false">
      <c r="A437" s="20"/>
      <c r="B437" s="20"/>
      <c r="C437" s="20"/>
      <c r="D437" s="20"/>
      <c r="E437" s="20"/>
      <c r="F437" s="20"/>
      <c r="G437" s="21"/>
      <c r="H437" s="20"/>
      <c r="I437" s="20"/>
      <c r="J437" s="22"/>
      <c r="K437" s="20"/>
    </row>
    <row r="438" customFormat="false" ht="15" hidden="false" customHeight="false" outlineLevel="0" collapsed="false">
      <c r="A438" s="20"/>
      <c r="B438" s="20"/>
      <c r="C438" s="20"/>
      <c r="D438" s="20"/>
      <c r="E438" s="20"/>
      <c r="F438" s="20"/>
      <c r="G438" s="21"/>
      <c r="H438" s="20"/>
      <c r="I438" s="20"/>
      <c r="J438" s="22"/>
      <c r="K438" s="20"/>
    </row>
    <row r="439" customFormat="false" ht="15" hidden="false" customHeight="false" outlineLevel="0" collapsed="false">
      <c r="A439" s="20"/>
      <c r="B439" s="20"/>
      <c r="C439" s="20"/>
      <c r="D439" s="20"/>
      <c r="E439" s="20"/>
      <c r="F439" s="20"/>
      <c r="G439" s="21"/>
      <c r="H439" s="20"/>
      <c r="I439" s="20"/>
      <c r="J439" s="22"/>
      <c r="K439" s="20"/>
    </row>
    <row r="440" customFormat="false" ht="15" hidden="false" customHeight="false" outlineLevel="0" collapsed="false">
      <c r="A440" s="20"/>
      <c r="B440" s="20"/>
      <c r="C440" s="20"/>
      <c r="D440" s="20"/>
      <c r="E440" s="20"/>
      <c r="F440" s="20"/>
      <c r="G440" s="21"/>
      <c r="H440" s="20"/>
      <c r="I440" s="20"/>
      <c r="J440" s="22"/>
      <c r="K440" s="20"/>
    </row>
    <row r="441" customFormat="false" ht="15" hidden="false" customHeight="false" outlineLevel="0" collapsed="false">
      <c r="A441" s="20"/>
      <c r="B441" s="20"/>
      <c r="C441" s="20"/>
      <c r="D441" s="20"/>
      <c r="E441" s="20"/>
      <c r="F441" s="20"/>
      <c r="G441" s="21"/>
      <c r="H441" s="20"/>
      <c r="I441" s="20"/>
      <c r="J441" s="22"/>
      <c r="K441" s="20"/>
    </row>
    <row r="442" customFormat="false" ht="15" hidden="false" customHeight="false" outlineLevel="0" collapsed="false">
      <c r="A442" s="20"/>
      <c r="B442" s="20"/>
      <c r="C442" s="20"/>
      <c r="D442" s="20"/>
      <c r="E442" s="20"/>
      <c r="F442" s="20"/>
      <c r="G442" s="21"/>
      <c r="H442" s="20"/>
      <c r="I442" s="20"/>
      <c r="J442" s="22"/>
      <c r="K442" s="20"/>
    </row>
    <row r="443" customFormat="false" ht="15" hidden="false" customHeight="false" outlineLevel="0" collapsed="false">
      <c r="A443" s="20"/>
      <c r="B443" s="20"/>
      <c r="C443" s="20"/>
      <c r="D443" s="20"/>
      <c r="E443" s="20"/>
      <c r="F443" s="20"/>
      <c r="G443" s="21"/>
      <c r="H443" s="20"/>
      <c r="I443" s="20"/>
      <c r="J443" s="22"/>
      <c r="K443" s="20"/>
    </row>
    <row r="444" customFormat="false" ht="15" hidden="false" customHeight="false" outlineLevel="0" collapsed="false">
      <c r="A444" s="20"/>
      <c r="B444" s="20"/>
      <c r="C444" s="20"/>
      <c r="D444" s="20"/>
      <c r="E444" s="20"/>
      <c r="F444" s="20"/>
      <c r="G444" s="21"/>
      <c r="H444" s="20"/>
      <c r="I444" s="20"/>
      <c r="J444" s="22"/>
      <c r="K444" s="20"/>
    </row>
    <row r="445" customFormat="false" ht="15" hidden="false" customHeight="false" outlineLevel="0" collapsed="false">
      <c r="A445" s="20"/>
      <c r="B445" s="20"/>
      <c r="C445" s="20"/>
      <c r="D445" s="20"/>
      <c r="E445" s="20"/>
      <c r="F445" s="20"/>
      <c r="G445" s="21"/>
      <c r="H445" s="20"/>
      <c r="I445" s="20"/>
      <c r="J445" s="22"/>
      <c r="K445" s="20"/>
    </row>
    <row r="446" customFormat="false" ht="15" hidden="false" customHeight="false" outlineLevel="0" collapsed="false">
      <c r="A446" s="20"/>
      <c r="B446" s="20"/>
      <c r="C446" s="20"/>
      <c r="D446" s="20"/>
      <c r="E446" s="20"/>
      <c r="F446" s="20"/>
      <c r="G446" s="21"/>
      <c r="H446" s="20"/>
      <c r="I446" s="20"/>
      <c r="J446" s="22"/>
      <c r="K446" s="20"/>
    </row>
    <row r="447" customFormat="false" ht="15" hidden="false" customHeight="false" outlineLevel="0" collapsed="false">
      <c r="A447" s="20"/>
      <c r="B447" s="20"/>
      <c r="C447" s="20"/>
      <c r="D447" s="20"/>
      <c r="E447" s="20"/>
      <c r="F447" s="20"/>
      <c r="G447" s="21"/>
      <c r="H447" s="20"/>
      <c r="I447" s="20"/>
      <c r="J447" s="22"/>
      <c r="K447" s="20"/>
    </row>
    <row r="448" customFormat="false" ht="15" hidden="false" customHeight="false" outlineLevel="0" collapsed="false">
      <c r="A448" s="20"/>
      <c r="B448" s="20"/>
      <c r="C448" s="20"/>
      <c r="D448" s="20"/>
      <c r="E448" s="20"/>
      <c r="F448" s="20"/>
      <c r="G448" s="21"/>
      <c r="H448" s="20"/>
      <c r="I448" s="20"/>
      <c r="J448" s="22"/>
      <c r="K448" s="20"/>
    </row>
    <row r="449" customFormat="false" ht="15" hidden="false" customHeight="false" outlineLevel="0" collapsed="false">
      <c r="A449" s="20"/>
      <c r="B449" s="20"/>
      <c r="C449" s="20"/>
      <c r="D449" s="20"/>
      <c r="E449" s="20"/>
      <c r="F449" s="20"/>
      <c r="G449" s="21"/>
      <c r="H449" s="20"/>
      <c r="I449" s="20"/>
      <c r="J449" s="22"/>
      <c r="K449" s="20"/>
    </row>
    <row r="450" customFormat="false" ht="15" hidden="false" customHeight="false" outlineLevel="0" collapsed="false">
      <c r="A450" s="20"/>
      <c r="B450" s="20"/>
      <c r="C450" s="20"/>
      <c r="D450" s="20"/>
      <c r="E450" s="20"/>
      <c r="F450" s="20"/>
      <c r="G450" s="21"/>
      <c r="H450" s="20"/>
      <c r="I450" s="20"/>
      <c r="J450" s="22"/>
      <c r="K450" s="20"/>
    </row>
    <row r="451" customFormat="false" ht="15" hidden="false" customHeight="false" outlineLevel="0" collapsed="false">
      <c r="A451" s="20"/>
      <c r="B451" s="20"/>
      <c r="C451" s="20"/>
      <c r="D451" s="20"/>
      <c r="E451" s="20"/>
      <c r="F451" s="20"/>
      <c r="G451" s="21"/>
      <c r="H451" s="20"/>
      <c r="I451" s="20"/>
      <c r="J451" s="22"/>
      <c r="K451" s="20"/>
    </row>
    <row r="452" customFormat="false" ht="15" hidden="false" customHeight="false" outlineLevel="0" collapsed="false">
      <c r="A452" s="20"/>
      <c r="B452" s="20"/>
      <c r="C452" s="20"/>
      <c r="D452" s="20"/>
      <c r="E452" s="20"/>
      <c r="F452" s="20"/>
      <c r="G452" s="21"/>
      <c r="H452" s="20"/>
      <c r="I452" s="20"/>
      <c r="J452" s="22"/>
      <c r="K452" s="20"/>
    </row>
    <row r="453" customFormat="false" ht="15" hidden="false" customHeight="false" outlineLevel="0" collapsed="false">
      <c r="A453" s="20"/>
      <c r="B453" s="20"/>
      <c r="C453" s="20"/>
      <c r="D453" s="20"/>
      <c r="E453" s="20"/>
      <c r="F453" s="20"/>
      <c r="G453" s="21"/>
      <c r="H453" s="20"/>
      <c r="I453" s="20"/>
      <c r="J453" s="22"/>
      <c r="K453" s="20"/>
    </row>
    <row r="454" customFormat="false" ht="15" hidden="false" customHeight="false" outlineLevel="0" collapsed="false">
      <c r="A454" s="20"/>
      <c r="B454" s="20"/>
      <c r="C454" s="20"/>
      <c r="D454" s="20"/>
      <c r="E454" s="20"/>
      <c r="F454" s="20"/>
      <c r="G454" s="21"/>
      <c r="H454" s="20"/>
      <c r="I454" s="20"/>
      <c r="J454" s="22"/>
      <c r="K454" s="20"/>
    </row>
    <row r="455" customFormat="false" ht="15" hidden="false" customHeight="false" outlineLevel="0" collapsed="false">
      <c r="A455" s="20"/>
      <c r="B455" s="20"/>
      <c r="C455" s="20"/>
      <c r="D455" s="20"/>
      <c r="E455" s="20"/>
      <c r="F455" s="20"/>
      <c r="G455" s="21"/>
      <c r="H455" s="20"/>
      <c r="I455" s="20"/>
      <c r="J455" s="22"/>
      <c r="K455" s="20"/>
    </row>
    <row r="456" customFormat="false" ht="15" hidden="false" customHeight="false" outlineLevel="0" collapsed="false">
      <c r="A456" s="20"/>
      <c r="B456" s="20"/>
      <c r="C456" s="20"/>
      <c r="D456" s="20"/>
      <c r="E456" s="20"/>
      <c r="F456" s="20"/>
      <c r="G456" s="21"/>
      <c r="H456" s="20"/>
      <c r="I456" s="20"/>
      <c r="J456" s="22"/>
      <c r="K456" s="20"/>
    </row>
    <row r="457" customFormat="false" ht="15" hidden="false" customHeight="false" outlineLevel="0" collapsed="false">
      <c r="A457" s="20"/>
      <c r="B457" s="20"/>
      <c r="C457" s="20"/>
      <c r="D457" s="20"/>
      <c r="E457" s="20"/>
      <c r="F457" s="20"/>
      <c r="G457" s="21"/>
      <c r="H457" s="20"/>
      <c r="I457" s="20"/>
      <c r="J457" s="22"/>
      <c r="K457" s="20"/>
    </row>
    <row r="458" customFormat="false" ht="15" hidden="false" customHeight="false" outlineLevel="0" collapsed="false">
      <c r="A458" s="20"/>
      <c r="B458" s="20"/>
      <c r="C458" s="20"/>
      <c r="D458" s="20"/>
      <c r="E458" s="20"/>
      <c r="F458" s="20"/>
      <c r="G458" s="21"/>
      <c r="H458" s="20"/>
      <c r="I458" s="20"/>
      <c r="J458" s="22"/>
      <c r="K458" s="20"/>
    </row>
    <row r="459" customFormat="false" ht="15" hidden="false" customHeight="false" outlineLevel="0" collapsed="false">
      <c r="A459" s="20"/>
      <c r="B459" s="20"/>
      <c r="C459" s="20"/>
      <c r="D459" s="20"/>
      <c r="E459" s="20"/>
      <c r="F459" s="20"/>
      <c r="G459" s="21"/>
      <c r="H459" s="20"/>
      <c r="I459" s="20"/>
      <c r="J459" s="22"/>
      <c r="K459" s="20"/>
    </row>
    <row r="460" customFormat="false" ht="15" hidden="false" customHeight="false" outlineLevel="0" collapsed="false">
      <c r="A460" s="20"/>
      <c r="B460" s="20"/>
      <c r="C460" s="20"/>
      <c r="D460" s="20"/>
      <c r="E460" s="20"/>
      <c r="F460" s="20"/>
      <c r="G460" s="21"/>
      <c r="H460" s="20"/>
      <c r="I460" s="20"/>
      <c r="J460" s="22"/>
      <c r="K460" s="20"/>
    </row>
    <row r="461" customFormat="false" ht="15" hidden="false" customHeight="false" outlineLevel="0" collapsed="false">
      <c r="A461" s="20"/>
      <c r="B461" s="20"/>
      <c r="C461" s="20"/>
      <c r="D461" s="20"/>
      <c r="E461" s="20"/>
      <c r="F461" s="20"/>
      <c r="G461" s="21"/>
      <c r="H461" s="20"/>
      <c r="I461" s="20"/>
      <c r="J461" s="22"/>
      <c r="K461" s="20"/>
    </row>
    <row r="462" customFormat="false" ht="15" hidden="false" customHeight="false" outlineLevel="0" collapsed="false">
      <c r="A462" s="20"/>
      <c r="B462" s="20"/>
      <c r="C462" s="20"/>
      <c r="D462" s="20"/>
      <c r="E462" s="20"/>
      <c r="F462" s="20"/>
      <c r="G462" s="21"/>
      <c r="H462" s="20"/>
      <c r="I462" s="20"/>
      <c r="J462" s="22"/>
      <c r="K462" s="20"/>
    </row>
    <row r="463" customFormat="false" ht="15" hidden="false" customHeight="false" outlineLevel="0" collapsed="false">
      <c r="A463" s="20"/>
      <c r="B463" s="20"/>
      <c r="C463" s="20"/>
      <c r="D463" s="20"/>
      <c r="E463" s="20"/>
      <c r="F463" s="20"/>
      <c r="G463" s="21"/>
      <c r="H463" s="20"/>
      <c r="I463" s="20"/>
      <c r="J463" s="22"/>
      <c r="K463" s="20"/>
    </row>
    <row r="464" customFormat="false" ht="15" hidden="false" customHeight="false" outlineLevel="0" collapsed="false">
      <c r="A464" s="20"/>
      <c r="B464" s="20"/>
      <c r="C464" s="20"/>
      <c r="D464" s="20"/>
      <c r="E464" s="20"/>
      <c r="F464" s="20"/>
      <c r="G464" s="21"/>
      <c r="H464" s="20"/>
      <c r="I464" s="20"/>
      <c r="J464" s="22"/>
      <c r="K464" s="20"/>
    </row>
    <row r="465" customFormat="false" ht="15" hidden="false" customHeight="false" outlineLevel="0" collapsed="false">
      <c r="A465" s="20"/>
      <c r="B465" s="20"/>
      <c r="C465" s="20"/>
      <c r="D465" s="20"/>
      <c r="E465" s="20"/>
      <c r="F465" s="20"/>
      <c r="G465" s="21"/>
      <c r="H465" s="20"/>
      <c r="I465" s="20"/>
      <c r="J465" s="22"/>
      <c r="K465" s="20"/>
    </row>
    <row r="466" customFormat="false" ht="15" hidden="false" customHeight="false" outlineLevel="0" collapsed="false">
      <c r="A466" s="20"/>
      <c r="B466" s="20"/>
      <c r="C466" s="20"/>
      <c r="D466" s="20"/>
      <c r="E466" s="20"/>
      <c r="F466" s="20"/>
      <c r="G466" s="21"/>
      <c r="H466" s="20"/>
      <c r="I466" s="20"/>
      <c r="J466" s="22"/>
      <c r="K466" s="20"/>
    </row>
    <row r="467" customFormat="false" ht="15" hidden="false" customHeight="false" outlineLevel="0" collapsed="false">
      <c r="A467" s="20"/>
      <c r="B467" s="20"/>
      <c r="C467" s="20"/>
      <c r="D467" s="20"/>
      <c r="E467" s="20"/>
      <c r="F467" s="20"/>
      <c r="G467" s="21"/>
      <c r="H467" s="20"/>
      <c r="I467" s="20"/>
      <c r="J467" s="22"/>
      <c r="K467" s="20"/>
    </row>
    <row r="468" customFormat="false" ht="15" hidden="false" customHeight="false" outlineLevel="0" collapsed="false">
      <c r="A468" s="20"/>
      <c r="B468" s="20"/>
      <c r="C468" s="20"/>
      <c r="D468" s="20"/>
      <c r="E468" s="20"/>
      <c r="F468" s="20"/>
      <c r="G468" s="21"/>
      <c r="H468" s="20"/>
      <c r="I468" s="20"/>
      <c r="J468" s="22"/>
      <c r="K468" s="20"/>
    </row>
    <row r="469" customFormat="false" ht="15" hidden="false" customHeight="false" outlineLevel="0" collapsed="false">
      <c r="A469" s="20"/>
      <c r="B469" s="20"/>
      <c r="C469" s="20"/>
      <c r="D469" s="20"/>
      <c r="E469" s="20"/>
      <c r="F469" s="20"/>
      <c r="G469" s="21"/>
      <c r="H469" s="20"/>
      <c r="I469" s="20"/>
      <c r="J469" s="22"/>
      <c r="K469" s="20"/>
    </row>
    <row r="470" customFormat="false" ht="15" hidden="false" customHeight="false" outlineLevel="0" collapsed="false">
      <c r="A470" s="20"/>
      <c r="B470" s="20"/>
      <c r="C470" s="20"/>
      <c r="D470" s="20"/>
      <c r="E470" s="20"/>
      <c r="F470" s="20"/>
      <c r="G470" s="21"/>
      <c r="H470" s="20"/>
      <c r="I470" s="20"/>
      <c r="J470" s="22"/>
      <c r="K470" s="20"/>
    </row>
    <row r="471" customFormat="false" ht="15" hidden="false" customHeight="false" outlineLevel="0" collapsed="false">
      <c r="A471" s="20"/>
      <c r="B471" s="20"/>
      <c r="C471" s="20"/>
      <c r="D471" s="20"/>
      <c r="E471" s="20"/>
      <c r="F471" s="20"/>
      <c r="G471" s="21"/>
      <c r="H471" s="20"/>
      <c r="I471" s="20"/>
      <c r="J471" s="22"/>
      <c r="K471" s="20"/>
    </row>
    <row r="472" customFormat="false" ht="15" hidden="false" customHeight="false" outlineLevel="0" collapsed="false">
      <c r="A472" s="20"/>
      <c r="B472" s="20"/>
      <c r="C472" s="20"/>
      <c r="D472" s="20"/>
      <c r="E472" s="20"/>
      <c r="F472" s="20"/>
      <c r="G472" s="21"/>
      <c r="H472" s="20"/>
      <c r="I472" s="20"/>
      <c r="J472" s="22"/>
      <c r="K472" s="20"/>
    </row>
    <row r="473" customFormat="false" ht="15" hidden="false" customHeight="false" outlineLevel="0" collapsed="false">
      <c r="A473" s="20"/>
      <c r="B473" s="20"/>
      <c r="C473" s="20"/>
      <c r="D473" s="20"/>
      <c r="E473" s="20"/>
      <c r="F473" s="20"/>
      <c r="G473" s="21"/>
      <c r="H473" s="20"/>
      <c r="I473" s="20"/>
      <c r="J473" s="22"/>
      <c r="K473" s="20"/>
    </row>
    <row r="474" customFormat="false" ht="15" hidden="false" customHeight="false" outlineLevel="0" collapsed="false">
      <c r="A474" s="20"/>
      <c r="B474" s="20"/>
      <c r="C474" s="20"/>
      <c r="D474" s="20"/>
      <c r="E474" s="20"/>
      <c r="F474" s="20"/>
      <c r="G474" s="21"/>
      <c r="H474" s="20"/>
      <c r="I474" s="20"/>
      <c r="J474" s="22"/>
      <c r="K474" s="20"/>
    </row>
    <row r="475" customFormat="false" ht="15" hidden="false" customHeight="false" outlineLevel="0" collapsed="false">
      <c r="A475" s="20"/>
      <c r="B475" s="20"/>
      <c r="C475" s="20"/>
      <c r="D475" s="20"/>
      <c r="E475" s="20"/>
      <c r="F475" s="20"/>
      <c r="G475" s="21"/>
      <c r="H475" s="20"/>
      <c r="I475" s="20"/>
      <c r="J475" s="22"/>
      <c r="K475" s="20"/>
    </row>
    <row r="476" customFormat="false" ht="15" hidden="false" customHeight="false" outlineLevel="0" collapsed="false">
      <c r="A476" s="20"/>
      <c r="B476" s="20"/>
      <c r="C476" s="20"/>
      <c r="D476" s="20"/>
      <c r="E476" s="20"/>
      <c r="F476" s="20"/>
      <c r="G476" s="21"/>
      <c r="H476" s="20"/>
      <c r="I476" s="20"/>
      <c r="J476" s="22"/>
      <c r="K476" s="20"/>
    </row>
    <row r="477" customFormat="false" ht="15" hidden="false" customHeight="false" outlineLevel="0" collapsed="false">
      <c r="A477" s="20"/>
      <c r="B477" s="20"/>
      <c r="C477" s="20"/>
      <c r="D477" s="20"/>
      <c r="E477" s="20"/>
      <c r="F477" s="20"/>
      <c r="G477" s="21"/>
      <c r="H477" s="20"/>
      <c r="I477" s="20"/>
      <c r="J477" s="22"/>
      <c r="K477" s="20"/>
    </row>
    <row r="478" customFormat="false" ht="15" hidden="false" customHeight="false" outlineLevel="0" collapsed="false">
      <c r="A478" s="20"/>
      <c r="B478" s="20"/>
      <c r="C478" s="20"/>
      <c r="D478" s="20"/>
      <c r="E478" s="20"/>
      <c r="F478" s="20"/>
      <c r="G478" s="21"/>
      <c r="H478" s="20"/>
      <c r="I478" s="20"/>
      <c r="J478" s="22"/>
      <c r="K478" s="20"/>
    </row>
    <row r="479" customFormat="false" ht="15" hidden="false" customHeight="false" outlineLevel="0" collapsed="false">
      <c r="A479" s="20"/>
      <c r="B479" s="20"/>
      <c r="C479" s="20"/>
      <c r="D479" s="20"/>
      <c r="E479" s="20"/>
      <c r="F479" s="20"/>
      <c r="G479" s="21"/>
      <c r="H479" s="20"/>
      <c r="I479" s="20"/>
      <c r="J479" s="22"/>
      <c r="K479" s="20"/>
    </row>
    <row r="480" customFormat="false" ht="15" hidden="false" customHeight="false" outlineLevel="0" collapsed="false">
      <c r="A480" s="20"/>
      <c r="B480" s="20"/>
      <c r="C480" s="20"/>
      <c r="D480" s="20"/>
      <c r="E480" s="20"/>
      <c r="F480" s="20"/>
      <c r="G480" s="21"/>
      <c r="H480" s="20"/>
      <c r="I480" s="20"/>
      <c r="J480" s="22"/>
      <c r="K480" s="20"/>
    </row>
    <row r="481" customFormat="false" ht="15" hidden="false" customHeight="false" outlineLevel="0" collapsed="false">
      <c r="A481" s="20"/>
      <c r="B481" s="20"/>
      <c r="C481" s="20"/>
      <c r="D481" s="20"/>
      <c r="E481" s="20"/>
      <c r="F481" s="20"/>
      <c r="G481" s="21"/>
      <c r="H481" s="20"/>
      <c r="I481" s="20"/>
      <c r="J481" s="22"/>
      <c r="K481" s="20"/>
    </row>
    <row r="482" customFormat="false" ht="15" hidden="false" customHeight="false" outlineLevel="0" collapsed="false">
      <c r="A482" s="20"/>
      <c r="B482" s="20"/>
      <c r="C482" s="20"/>
      <c r="D482" s="20"/>
      <c r="E482" s="20"/>
      <c r="F482" s="20"/>
      <c r="G482" s="21"/>
      <c r="H482" s="20"/>
      <c r="I482" s="20"/>
      <c r="J482" s="22"/>
      <c r="K482" s="20"/>
    </row>
    <row r="483" customFormat="false" ht="15" hidden="false" customHeight="false" outlineLevel="0" collapsed="false">
      <c r="A483" s="20"/>
      <c r="B483" s="20"/>
      <c r="C483" s="20"/>
      <c r="D483" s="20"/>
      <c r="E483" s="20"/>
      <c r="F483" s="20"/>
      <c r="G483" s="21"/>
      <c r="H483" s="20"/>
      <c r="I483" s="20"/>
      <c r="J483" s="22"/>
      <c r="K483" s="20"/>
    </row>
    <row r="484" customFormat="false" ht="15" hidden="false" customHeight="false" outlineLevel="0" collapsed="false">
      <c r="A484" s="20"/>
      <c r="B484" s="20"/>
      <c r="C484" s="20"/>
      <c r="D484" s="20"/>
      <c r="E484" s="20"/>
      <c r="F484" s="20"/>
      <c r="G484" s="21"/>
      <c r="H484" s="20"/>
      <c r="I484" s="20"/>
      <c r="J484" s="22"/>
      <c r="K484" s="20"/>
    </row>
    <row r="485" customFormat="false" ht="15" hidden="false" customHeight="false" outlineLevel="0" collapsed="false">
      <c r="A485" s="20"/>
      <c r="B485" s="20"/>
      <c r="C485" s="20"/>
      <c r="D485" s="20"/>
      <c r="E485" s="20"/>
      <c r="F485" s="20"/>
      <c r="G485" s="21"/>
      <c r="H485" s="20"/>
      <c r="I485" s="20"/>
      <c r="J485" s="22"/>
      <c r="K485" s="20"/>
    </row>
    <row r="486" customFormat="false" ht="15" hidden="false" customHeight="false" outlineLevel="0" collapsed="false">
      <c r="A486" s="20"/>
      <c r="B486" s="20"/>
      <c r="C486" s="20"/>
      <c r="D486" s="20"/>
      <c r="E486" s="20"/>
      <c r="F486" s="20"/>
      <c r="G486" s="21"/>
      <c r="H486" s="20"/>
      <c r="I486" s="20"/>
      <c r="J486" s="22"/>
      <c r="K486" s="20"/>
    </row>
    <row r="487" customFormat="false" ht="15" hidden="false" customHeight="false" outlineLevel="0" collapsed="false">
      <c r="A487" s="20"/>
      <c r="B487" s="20"/>
      <c r="C487" s="20"/>
      <c r="D487" s="20"/>
      <c r="E487" s="20"/>
      <c r="F487" s="20"/>
      <c r="G487" s="21"/>
      <c r="H487" s="20"/>
      <c r="I487" s="20"/>
      <c r="J487" s="22"/>
      <c r="K487" s="20"/>
    </row>
    <row r="488" customFormat="false" ht="15" hidden="false" customHeight="false" outlineLevel="0" collapsed="false">
      <c r="A488" s="20"/>
      <c r="B488" s="20"/>
      <c r="C488" s="20"/>
      <c r="D488" s="20"/>
      <c r="E488" s="20"/>
      <c r="F488" s="20"/>
      <c r="G488" s="21"/>
      <c r="H488" s="20"/>
      <c r="I488" s="20"/>
      <c r="J488" s="22"/>
      <c r="K488" s="20"/>
    </row>
    <row r="489" customFormat="false" ht="15" hidden="false" customHeight="false" outlineLevel="0" collapsed="false">
      <c r="A489" s="20"/>
      <c r="B489" s="20"/>
      <c r="C489" s="20"/>
      <c r="D489" s="20"/>
      <c r="E489" s="20"/>
      <c r="F489" s="20"/>
      <c r="G489" s="21"/>
      <c r="H489" s="20"/>
      <c r="I489" s="20"/>
      <c r="J489" s="22"/>
      <c r="K489" s="20"/>
    </row>
    <row r="490" customFormat="false" ht="15" hidden="false" customHeight="false" outlineLevel="0" collapsed="false">
      <c r="A490" s="20"/>
      <c r="B490" s="20"/>
      <c r="C490" s="20"/>
      <c r="D490" s="20"/>
      <c r="E490" s="20"/>
      <c r="F490" s="20"/>
      <c r="G490" s="21"/>
      <c r="H490" s="20"/>
      <c r="I490" s="20"/>
      <c r="J490" s="22"/>
      <c r="K490" s="20"/>
    </row>
    <row r="491" customFormat="false" ht="15" hidden="false" customHeight="false" outlineLevel="0" collapsed="false">
      <c r="A491" s="20"/>
      <c r="B491" s="20"/>
      <c r="C491" s="20"/>
      <c r="D491" s="20"/>
      <c r="E491" s="20"/>
      <c r="F491" s="20"/>
      <c r="G491" s="21"/>
      <c r="H491" s="20"/>
      <c r="I491" s="20"/>
      <c r="J491" s="22"/>
      <c r="K491" s="20"/>
    </row>
    <row r="492" customFormat="false" ht="15" hidden="false" customHeight="false" outlineLevel="0" collapsed="false">
      <c r="A492" s="20"/>
      <c r="B492" s="20"/>
      <c r="C492" s="20"/>
      <c r="D492" s="20"/>
      <c r="E492" s="20"/>
      <c r="F492" s="20"/>
      <c r="G492" s="21"/>
      <c r="H492" s="20"/>
      <c r="I492" s="20"/>
      <c r="J492" s="22"/>
      <c r="K492" s="20"/>
    </row>
    <row r="493" customFormat="false" ht="15" hidden="false" customHeight="false" outlineLevel="0" collapsed="false">
      <c r="A493" s="20"/>
      <c r="B493" s="20"/>
      <c r="C493" s="20"/>
      <c r="D493" s="20"/>
      <c r="E493" s="20"/>
      <c r="F493" s="20"/>
      <c r="G493" s="21"/>
      <c r="H493" s="20"/>
      <c r="I493" s="20"/>
      <c r="J493" s="22"/>
      <c r="K493" s="20"/>
    </row>
    <row r="494" customFormat="false" ht="15" hidden="false" customHeight="false" outlineLevel="0" collapsed="false">
      <c r="A494" s="20"/>
      <c r="B494" s="20"/>
      <c r="C494" s="20"/>
      <c r="D494" s="20"/>
      <c r="E494" s="20"/>
      <c r="F494" s="20"/>
      <c r="G494" s="21"/>
      <c r="H494" s="20"/>
      <c r="I494" s="20"/>
      <c r="J494" s="22"/>
      <c r="K494" s="20"/>
    </row>
    <row r="495" customFormat="false" ht="15" hidden="false" customHeight="false" outlineLevel="0" collapsed="false">
      <c r="A495" s="20"/>
      <c r="B495" s="20"/>
      <c r="C495" s="20"/>
      <c r="D495" s="20"/>
      <c r="E495" s="20"/>
      <c r="F495" s="20"/>
      <c r="G495" s="21"/>
      <c r="H495" s="20"/>
      <c r="I495" s="20"/>
      <c r="J495" s="22"/>
      <c r="K495" s="20"/>
    </row>
    <row r="496" customFormat="false" ht="15" hidden="false" customHeight="false" outlineLevel="0" collapsed="false">
      <c r="A496" s="20"/>
      <c r="B496" s="20"/>
      <c r="C496" s="20"/>
      <c r="D496" s="20"/>
      <c r="E496" s="20"/>
      <c r="F496" s="20"/>
      <c r="G496" s="21"/>
      <c r="H496" s="20"/>
      <c r="I496" s="20"/>
      <c r="J496" s="22"/>
      <c r="K496" s="20"/>
    </row>
    <row r="497" customFormat="false" ht="15" hidden="false" customHeight="false" outlineLevel="0" collapsed="false">
      <c r="A497" s="20"/>
      <c r="B497" s="20"/>
      <c r="C497" s="20"/>
      <c r="D497" s="20"/>
      <c r="E497" s="20"/>
      <c r="F497" s="20"/>
      <c r="G497" s="21"/>
      <c r="H497" s="20"/>
      <c r="I497" s="20"/>
      <c r="J497" s="22"/>
      <c r="K497" s="20"/>
    </row>
    <row r="498" customFormat="false" ht="15" hidden="false" customHeight="false" outlineLevel="0" collapsed="false">
      <c r="A498" s="20"/>
      <c r="B498" s="20"/>
      <c r="C498" s="20"/>
      <c r="D498" s="20"/>
      <c r="E498" s="20"/>
      <c r="F498" s="20"/>
      <c r="G498" s="21"/>
      <c r="H498" s="20"/>
      <c r="I498" s="20"/>
      <c r="J498" s="22"/>
      <c r="K498" s="20"/>
    </row>
    <row r="499" customFormat="false" ht="15" hidden="false" customHeight="false" outlineLevel="0" collapsed="false">
      <c r="A499" s="20"/>
      <c r="B499" s="20"/>
      <c r="C499" s="20"/>
      <c r="D499" s="20"/>
      <c r="E499" s="20"/>
      <c r="F499" s="20"/>
      <c r="G499" s="21"/>
      <c r="H499" s="20"/>
      <c r="I499" s="20"/>
      <c r="J499" s="22"/>
      <c r="K499" s="20"/>
    </row>
    <row r="500" customFormat="false" ht="15" hidden="false" customHeight="false" outlineLevel="0" collapsed="false">
      <c r="A500" s="20"/>
      <c r="B500" s="20"/>
      <c r="C500" s="20"/>
      <c r="D500" s="20"/>
      <c r="E500" s="20"/>
      <c r="F500" s="20"/>
      <c r="G500" s="21"/>
      <c r="H500" s="20"/>
      <c r="I500" s="20"/>
      <c r="J500" s="22"/>
      <c r="K500" s="20"/>
    </row>
  </sheetData>
  <autoFilter ref="A1:K500"/>
  <dataValidations count="4">
    <dataValidation allowBlank="true" errorStyle="stop" operator="between" showDropDown="false" showErrorMessage="false" showInputMessage="false" sqref="B2:B500" type="list">
      <formula1>"AL,AR,IA,ID,KS,KY,LA,MS,MT,ND,NE,NM,OK,SD,TX,WV,WY"</formula1>
      <formula2>0</formula2>
    </dataValidation>
    <dataValidation allowBlank="true" errorStyle="stop" operator="between" showDropDown="false" showErrorMessage="false" showInputMessage="false" sqref="C2:C500" type="list">
      <formula1>Niches!$H$2:$H$40</formula1>
      <formula2>0</formula2>
    </dataValidation>
    <dataValidation allowBlank="true" errorStyle="stop" operator="between" showDropDown="false" showErrorMessage="false" showInputMessage="false" sqref="F2:F500" type="list">
      <formula1>"Yes,No,Facebook only"</formula1>
      <formula2>0</formula2>
    </dataValidation>
    <dataValidation allowBlank="true" errorStyle="stop" operator="between" showDropDown="false" showErrorMessage="false" showInputMessage="false" sqref="I2:I500" type="list">
      <formula1>"Not contacted,Called - no answer,Pitched,Follow up,Demo sent,Closed - won,Closed - lost"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2026-10-14T23:46:41Z</dcterms:created>
  <dc:creator>openpyxl</dc:creator>
  <dc:description/>
  <dc:language>en-US</dc:language>
  <cp:lastModifiedBy/>
  <dcterms:modified xsi:type="dcterms:W3CDTF">2026-10-14T23:46:41Z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